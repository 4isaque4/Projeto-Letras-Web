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acklog_MVP" sheetId="2" state="visible" r:id="rId2"/>
    <sheet xmlns:r="http://schemas.openxmlformats.org/officeDocument/2006/relationships" name="Estimativa" sheetId="3" state="visible" r:id="rId3"/>
    <sheet xmlns:r="http://schemas.openxmlformats.org/officeDocument/2006/relationships" name="Mensalidade" sheetId="4" state="visible" r:id="rId4"/>
    <sheet xmlns:r="http://schemas.openxmlformats.org/officeDocument/2006/relationships" name="Infra" sheetId="5" state="visible" r:id="rId5"/>
    <sheet xmlns:r="http://schemas.openxmlformats.org/officeDocument/2006/relationships" name="Glossário" sheetId="6" state="visible" r:id="rId6"/>
    <sheet xmlns:r="http://schemas.openxmlformats.org/officeDocument/2006/relationships" name="Gu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5" fillId="0" borderId="1" applyAlignment="1" pivotButton="0" quotePrefix="0" xfId="0">
      <alignment vertical="center" wrapText="1"/>
    </xf>
    <xf numFmtId="0" fontId="5" fillId="0" borderId="1" pivotButton="0" quotePrefix="0" xfId="0"/>
    <xf numFmtId="1" fontId="5" fillId="0" borderId="1" applyAlignment="1" pivotButton="0" quotePrefix="0" xfId="0">
      <alignment vertical="center" wrapText="1"/>
    </xf>
    <xf numFmtId="9" fontId="5" fillId="0" borderId="1" applyAlignment="1" pivotButton="0" quotePrefix="0" xfId="0">
      <alignment vertical="center" wrapText="1"/>
    </xf>
    <xf numFmtId="2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2" fillId="0" borderId="1" pivotButton="0" quotePrefix="0" xfId="0"/>
    <xf numFmtId="0" fontId="5" fillId="0" borderId="1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BacklogMVP" displayName="BacklogMVP" ref="A1:J16" headerRowCount="1">
  <autoFilter ref="A1:J16"/>
  <tableColumns count="10">
    <tableColumn id="1" name="Módulo"/>
    <tableColumn id="2" name="Funcionalidade"/>
    <tableColumn id="3" name="Descrição (mín. técnica)"/>
    <tableColumn id="4" name="Entrega (Web/Admin/App/Server)"/>
    <tableColumn id="5" name="Prioridade (MVP)"/>
    <tableColumn id="6" name="Complexidade (S/M/L)"/>
    <tableColumn id="7" name="Horas mín"/>
    <tableColumn id="8" name="Horas máx"/>
    <tableColumn id="9" name="Dependências"/>
    <tableColumn id="10" name="Critério de aceite (resumo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sumoHoras" displayName="ResumoHoras" ref="A1:D9" headerRowCount="1">
  <autoFilter ref="A1:D9"/>
  <tableColumns count="4">
    <tableColumn id="1" name="Módulo"/>
    <tableColumn id="2" name="Horas mín (soma)"/>
    <tableColumn id="3" name="Horas máx (soma)"/>
    <tableColumn id="4" name="Observaçã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ilestones" displayName="Milestones" ref="A1:E4" headerRowCount="1">
  <autoFilter ref="A1:E4"/>
  <tableColumns count="5">
    <tableColumn id="1" name="Mês"/>
    <tableColumn id="2" name="Horas (time)"/>
    <tableColumn id="3" name="Foco do mês (milestone)"/>
    <tableColumn id="4" name="Entregáveis (resumo)"/>
    <tableColumn id="5" name="Riscos/Dependênci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InfraCustos" displayName="InfraCustos" ref="A1:G5" headerRowCount="1">
  <autoFilter ref="A1:G5"/>
  <tableColumns count="7">
    <tableColumn id="1" name="Item"/>
    <tableColumn id="2" name="Fornecedor"/>
    <tableColumn id="3" name="Plano/Obs."/>
    <tableColumn id="4" name="Custo (moeda)"/>
    <tableColumn id="5" name="Valor"/>
    <tableColumn id="6" name="Periodicidade"/>
    <tableColumn id="7" name="Quem pag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Glossario" displayName="Glossario" ref="A1:D14" headerRowCount="1">
  <autoFilter ref="A1:D14"/>
  <tableColumns count="4">
    <tableColumn id="1" name="Sigla/Termo"/>
    <tableColumn id="2" name="Significado"/>
    <tableColumn id="3" name="Onde aparece"/>
    <tableColumn id="4" name="Explicação básica"/>
  </tableColumns>
  <tableStyleInfo name="TableStyleMedium9" showRowStripes="1"/>
</table>
</file>

<file path=xl/tables/table6.xml><?xml version="1.0" encoding="utf-8"?>
<table xmlns="http://schemas.openxmlformats.org/spreadsheetml/2006/main" id="6" name="GuiaLeitura" displayName="GuiaLeitura" ref="A2:E8" headerRowCount="1">
  <autoFilter ref="A2:E8"/>
  <tableColumns count="5">
    <tableColumn id="1" name="Aba"/>
    <tableColumn id="2" name="O que é"/>
    <tableColumn id="3" name="O que você ajusta"/>
    <tableColumn id="4" name="O que sai daqui"/>
    <tableColumn id="5" name="Observaçõ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4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Orçamento MVP — Web + Supabase (Alfabetizador Online)</t>
        </is>
      </c>
    </row>
    <row r="2">
      <c r="A2" s="9" t="inlineStr">
        <is>
          <t>Configurações (editáveis)</t>
        </is>
      </c>
      <c r="B2" s="10" t="n"/>
      <c r="C2" s="10" t="n"/>
      <c r="D2" s="10" t="n"/>
      <c r="E2" s="10" t="n"/>
      <c r="F2" s="11" t="n"/>
    </row>
    <row r="3">
      <c r="A3" s="3" t="inlineStr">
        <is>
          <t>Mensalidade total (R$)</t>
        </is>
      </c>
      <c r="B3" s="12" t="n">
        <v>3000</v>
      </c>
      <c r="C3" s="13" t="n"/>
      <c r="D3" s="13" t="n"/>
      <c r="E3" s="13" t="n"/>
      <c r="F3" s="13" t="n"/>
    </row>
    <row r="4">
      <c r="A4" s="3" t="inlineStr">
        <is>
          <t>Horas/mês planejadas (time)</t>
        </is>
      </c>
      <c r="B4" s="14" t="n">
        <v>40</v>
      </c>
      <c r="C4" s="13" t="n"/>
      <c r="D4" s="13" t="n"/>
      <c r="E4" s="13" t="n"/>
      <c r="F4" s="13" t="n"/>
    </row>
    <row r="5">
      <c r="A5" s="3" t="inlineStr">
        <is>
          <t>Reserva p/ suporte/QA/retrabalho (%)</t>
        </is>
      </c>
      <c r="B5" s="15" t="n">
        <v>0.2</v>
      </c>
      <c r="C5" s="13" t="n"/>
      <c r="D5" s="13" t="n"/>
      <c r="E5" s="13" t="n"/>
      <c r="F5" s="13" t="n"/>
    </row>
    <row r="6">
      <c r="A6" s="3" t="inlineStr">
        <is>
          <t>Horas úteis p/ features (calc)</t>
        </is>
      </c>
      <c r="B6" s="16">
        <f>B4*(1-B5)</f>
        <v/>
      </c>
      <c r="C6" s="13" t="n"/>
      <c r="D6" s="13" t="n"/>
      <c r="E6" s="13" t="n"/>
      <c r="F6" s="13" t="n"/>
    </row>
    <row r="7">
      <c r="A7" s="3" t="inlineStr">
        <is>
          <t>Custo efetivo por hora (R$/h)</t>
        </is>
      </c>
      <c r="B7" s="12">
        <f>B3/B4</f>
        <v/>
      </c>
      <c r="C7" s="13" t="n"/>
      <c r="D7" s="13" t="n"/>
      <c r="E7" s="13" t="n"/>
      <c r="F7" s="13" t="n"/>
    </row>
    <row r="8">
      <c r="A8" s="3" t="inlineStr">
        <is>
          <t>Modelo</t>
        </is>
      </c>
      <c r="B8" s="17" t="inlineStr">
        <is>
          <t>Retainer por horas + backlog priorizado</t>
        </is>
      </c>
      <c r="C8" s="13" t="n"/>
      <c r="D8" s="13" t="n"/>
      <c r="E8" s="13" t="n"/>
      <c r="F8" s="13" t="n"/>
    </row>
    <row r="9">
      <c r="A9" s="13" t="n"/>
      <c r="B9" s="13" t="n"/>
      <c r="C9" s="13" t="n"/>
      <c r="D9" s="13" t="n"/>
      <c r="E9" s="13" t="n"/>
      <c r="F9" s="13" t="n"/>
    </row>
    <row r="10">
      <c r="A10" s="18" t="inlineStr">
        <is>
          <t>Notas</t>
        </is>
      </c>
      <c r="B10" s="10" t="n"/>
      <c r="C10" s="10" t="n"/>
      <c r="D10" s="10" t="n"/>
      <c r="E10" s="10" t="n"/>
      <c r="F10" s="11" t="n"/>
    </row>
    <row r="11">
      <c r="A11" s="19" t="inlineStr">
        <is>
          <t>Custo efetivo/h = Mensalidade total ÷ Horas/mês planejadas (time).</t>
        </is>
      </c>
      <c r="B11" s="10" t="n"/>
      <c r="C11" s="10" t="n"/>
      <c r="D11" s="10" t="n"/>
      <c r="E11" s="10" t="n"/>
      <c r="F11" s="11" t="n"/>
    </row>
    <row r="12">
      <c r="A12" s="19" t="inlineStr">
        <is>
          <t>Horas úteis = Horas/mês × (1 − Reserva%). Reserva cobre suporte, QA, retrabalho e alinhamentos.</t>
        </is>
      </c>
      <c r="B12" s="10" t="n"/>
      <c r="C12" s="10" t="n"/>
      <c r="D12" s="10" t="n"/>
      <c r="E12" s="10" t="n"/>
      <c r="F12" s="11" t="n"/>
    </row>
    <row r="13">
      <c r="A13" s="19" t="inlineStr">
        <is>
          <t>A aba Backlog_MVP traz horas mín–máx por funcionalidade; a aba Estimativa soma por módulo.</t>
        </is>
      </c>
      <c r="B13" s="10" t="n"/>
      <c r="C13" s="10" t="n"/>
      <c r="D13" s="10" t="n"/>
      <c r="E13" s="10" t="n"/>
      <c r="F13" s="11" t="n"/>
    </row>
    <row r="14">
      <c r="A14" s="13" t="n"/>
      <c r="B14" s="13" t="n"/>
      <c r="C14" s="13" t="n"/>
      <c r="D14" s="13" t="n"/>
      <c r="E14" s="13" t="n"/>
      <c r="F14" s="13" t="n"/>
    </row>
    <row r="15">
      <c r="A15" s="13" t="n"/>
      <c r="B15" s="13" t="n"/>
      <c r="C15" s="13" t="n"/>
      <c r="D15" s="13" t="n"/>
      <c r="E15" s="13" t="n"/>
      <c r="F15" s="13" t="n"/>
    </row>
    <row r="16">
      <c r="A16" s="13" t="n"/>
      <c r="B16" s="13" t="n"/>
      <c r="C16" s="13" t="n"/>
      <c r="D16" s="13" t="n"/>
      <c r="E16" s="13" t="n"/>
      <c r="F16" s="13" t="n"/>
    </row>
    <row r="17">
      <c r="A17" s="13" t="n"/>
      <c r="B17" s="13" t="n"/>
      <c r="C17" s="13" t="n"/>
      <c r="D17" s="13" t="n"/>
      <c r="E17" s="13" t="n"/>
      <c r="F17" s="13" t="n"/>
    </row>
    <row r="18">
      <c r="A18" s="13" t="n"/>
      <c r="B18" s="13" t="n"/>
      <c r="C18" s="13" t="n"/>
      <c r="D18" s="13" t="n"/>
      <c r="E18" s="13" t="n"/>
      <c r="F18" s="13" t="n"/>
    </row>
    <row r="19">
      <c r="A19" s="13" t="n"/>
      <c r="B19" s="13" t="n"/>
      <c r="C19" s="13" t="n"/>
      <c r="D19" s="13" t="n"/>
      <c r="E19" s="13" t="n"/>
      <c r="F19" s="13" t="n"/>
    </row>
    <row r="20">
      <c r="A20" s="13" t="n"/>
      <c r="B20" s="13" t="n"/>
      <c r="C20" s="13" t="n"/>
      <c r="D20" s="13" t="n"/>
      <c r="E20" s="13" t="n"/>
      <c r="F20" s="13" t="n"/>
    </row>
  </sheetData>
  <mergeCells count="6">
    <mergeCell ref="A2:F2"/>
    <mergeCell ref="A11:F11"/>
    <mergeCell ref="A10:F10"/>
    <mergeCell ref="A1:F1"/>
    <mergeCell ref="A13:F13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  <col width="22" customWidth="1" min="4" max="4"/>
    <col width="14" customWidth="1" min="5" max="5"/>
    <col width="16" customWidth="1" min="6" max="6"/>
    <col width="10" customWidth="1" min="7" max="7"/>
    <col width="10" customWidth="1" min="8" max="8"/>
    <col width="20" customWidth="1" min="9" max="9"/>
    <col width="32" customWidth="1" min="10" max="10"/>
  </cols>
  <sheetData>
    <row r="1" ht="24" customHeight="1">
      <c r="A1" s="7" t="inlineStr">
        <is>
          <t>Módulo</t>
        </is>
      </c>
      <c r="B1" s="7" t="inlineStr">
        <is>
          <t>Funcionalidade</t>
        </is>
      </c>
      <c r="C1" s="7" t="inlineStr">
        <is>
          <t>Descrição (mín. técnica)</t>
        </is>
      </c>
      <c r="D1" s="7" t="inlineStr">
        <is>
          <t>Entrega (Web/Admin/App/Server)</t>
        </is>
      </c>
      <c r="E1" s="7" t="inlineStr">
        <is>
          <t>Prioridade (MVP)</t>
        </is>
      </c>
      <c r="F1" s="7" t="inlineStr">
        <is>
          <t>Complexidade (S/M/L)</t>
        </is>
      </c>
      <c r="G1" s="7" t="inlineStr">
        <is>
          <t>Horas mín</t>
        </is>
      </c>
      <c r="H1" s="7" t="inlineStr">
        <is>
          <t>Horas máx</t>
        </is>
      </c>
      <c r="I1" s="7" t="inlineStr">
        <is>
          <t>Dependências</t>
        </is>
      </c>
      <c r="J1" s="7" t="inlineStr">
        <is>
          <t>Critério de aceite (resumo)</t>
        </is>
      </c>
    </row>
    <row r="2">
      <c r="A2" s="8" t="inlineStr">
        <is>
          <t>A. Segurança &amp; Acesso</t>
        </is>
      </c>
      <c r="B2" s="8" t="inlineStr">
        <is>
          <t>Auth + papéis (admin/tutor)</t>
        </is>
      </c>
      <c r="C2" s="8" t="inlineStr">
        <is>
          <t>Login, sessão e papéis via Supabase Auth (JWT); UI de login no Web.</t>
        </is>
      </c>
      <c r="D2" s="8" t="inlineStr">
        <is>
          <t>Web + Supabase</t>
        </is>
      </c>
      <c r="E2" s="8" t="inlineStr">
        <is>
          <t>Alta</t>
        </is>
      </c>
      <c r="F2" s="8" t="inlineStr">
        <is>
          <t>M</t>
        </is>
      </c>
      <c r="G2" s="8" t="n">
        <v>8</v>
      </c>
      <c r="H2" s="8" t="n">
        <v>16</v>
      </c>
      <c r="I2" s="8" t="inlineStr">
        <is>
          <t>Supabase Auth</t>
        </is>
      </c>
      <c r="J2" s="8" t="inlineStr">
        <is>
          <t>Usuário loga; papel define menus e acesso.</t>
        </is>
      </c>
    </row>
    <row r="3">
      <c r="A3" s="8" t="inlineStr">
        <is>
          <t>A. Segurança &amp; Acesso</t>
        </is>
      </c>
      <c r="B3" s="8" t="inlineStr">
        <is>
          <t>RLS base por papel</t>
        </is>
      </c>
      <c r="C3" s="8" t="inlineStr">
        <is>
          <t>Políticas RLS para limitar leitura/escrita por papel (admin vê tudo; tutor vê seus vinculados).</t>
        </is>
      </c>
      <c r="D3" s="8" t="inlineStr">
        <is>
          <t>Supabase (DB)</t>
        </is>
      </c>
      <c r="E3" s="8" t="inlineStr">
        <is>
          <t>Alta</t>
        </is>
      </c>
      <c r="F3" s="8" t="inlineStr">
        <is>
          <t>L</t>
        </is>
      </c>
      <c r="G3" s="8" t="n">
        <v>12</v>
      </c>
      <c r="H3" s="8" t="n">
        <v>24</v>
      </c>
      <c r="I3" s="8" t="inlineStr">
        <is>
          <t>Modelo de dados + Auth</t>
        </is>
      </c>
      <c r="J3" s="8" t="inlineStr">
        <is>
          <t>Tutor não consulta dados de outro tutor; testes básicos passam.</t>
        </is>
      </c>
    </row>
    <row r="4">
      <c r="A4" s="8" t="inlineStr">
        <is>
          <t>B. CMS Conteúdo</t>
        </is>
      </c>
      <c r="B4" s="8" t="inlineStr">
        <is>
          <t>CRUD Tema/Etapa/Atividade</t>
        </is>
      </c>
      <c r="C4" s="8" t="inlineStr">
        <is>
          <t>Tabelas e telas para cadastrar temas, etapas (1/2/3) e atividades ordenadas.</t>
        </is>
      </c>
      <c r="D4" s="8" t="inlineStr">
        <is>
          <t>Web + Supabase</t>
        </is>
      </c>
      <c r="E4" s="8" t="inlineStr">
        <is>
          <t>Alta</t>
        </is>
      </c>
      <c r="F4" s="8" t="inlineStr">
        <is>
          <t>M</t>
        </is>
      </c>
      <c r="G4" s="8" t="n">
        <v>10</v>
      </c>
      <c r="H4" s="8" t="n">
        <v>20</v>
      </c>
      <c r="I4" s="8" t="inlineStr">
        <is>
          <t>RLS base</t>
        </is>
      </c>
      <c r="J4" s="8" t="inlineStr">
        <is>
          <t>Admin cria/edita; app lista atividades por tema/etapa.</t>
        </is>
      </c>
    </row>
    <row r="5">
      <c r="A5" s="8" t="inlineStr">
        <is>
          <t>B. CMS Conteúdo</t>
        </is>
      </c>
      <c r="B5" s="8" t="inlineStr">
        <is>
          <t>Upload de mídia (vídeo/arquivo)</t>
        </is>
      </c>
      <c r="C5" s="8" t="inlineStr">
        <is>
          <t>Storage buckets + upload via signed upload URL; metadados em activity_assets.</t>
        </is>
      </c>
      <c r="D5" s="8" t="inlineStr">
        <is>
          <t>Web + Supabase Storage</t>
        </is>
      </c>
      <c r="E5" s="8" t="inlineStr">
        <is>
          <t>Alta</t>
        </is>
      </c>
      <c r="F5" s="8" t="inlineStr">
        <is>
          <t>M</t>
        </is>
      </c>
      <c r="G5" s="8" t="n">
        <v>10</v>
      </c>
      <c r="H5" s="8" t="n">
        <v>24</v>
      </c>
      <c r="I5" s="8" t="inlineStr">
        <is>
          <t>Buckets + RLS storage</t>
        </is>
      </c>
      <c r="J5" s="8" t="inlineStr">
        <is>
          <t>Upload ok; app recebe signed URL p/ consumo.</t>
        </is>
      </c>
    </row>
    <row r="6">
      <c r="A6" s="8" t="inlineStr">
        <is>
          <t>C. Usuários &amp; Vínculos</t>
        </is>
      </c>
      <c r="B6" s="8" t="inlineStr">
        <is>
          <t>CRUD alfabetizadores</t>
        </is>
      </c>
      <c r="C6" s="8" t="inlineStr">
        <is>
          <t>Cadastro/edição/listagem de alfabetizadores (perfil).</t>
        </is>
      </c>
      <c r="D6" s="8" t="inlineStr">
        <is>
          <t>Web + Supabase</t>
        </is>
      </c>
      <c r="E6" s="8" t="inlineStr">
        <is>
          <t>Alta</t>
        </is>
      </c>
      <c r="F6" s="8" t="inlineStr">
        <is>
          <t>S</t>
        </is>
      </c>
      <c r="G6" s="8" t="n">
        <v>6</v>
      </c>
      <c r="H6" s="8" t="n">
        <v>12</v>
      </c>
      <c r="I6" s="8" t="inlineStr">
        <is>
          <t>Auth + profiles</t>
        </is>
      </c>
      <c r="J6" s="8" t="inlineStr">
        <is>
          <t>Admin cria tutor; tutor acessa painel.</t>
        </is>
      </c>
    </row>
    <row r="7">
      <c r="A7" s="8" t="inlineStr">
        <is>
          <t>C. Usuários &amp; Vínculos</t>
        </is>
      </c>
      <c r="B7" s="8" t="inlineStr">
        <is>
          <t>CRUD alfabetizandos</t>
        </is>
      </c>
      <c r="C7" s="8" t="inlineStr">
        <is>
          <t>Cadastro/edição/listagem de alfabetizandos; status (etapa, inatividade).</t>
        </is>
      </c>
      <c r="D7" s="8" t="inlineStr">
        <is>
          <t>Web + Supabase</t>
        </is>
      </c>
      <c r="E7" s="8" t="inlineStr">
        <is>
          <t>Alta</t>
        </is>
      </c>
      <c r="F7" s="8" t="inlineStr">
        <is>
          <t>M</t>
        </is>
      </c>
      <c r="G7" s="8" t="n">
        <v>10</v>
      </c>
      <c r="H7" s="8" t="n">
        <v>20</v>
      </c>
      <c r="I7" s="8" t="inlineStr">
        <is>
          <t>profiles/enrollments</t>
        </is>
      </c>
      <c r="J7" s="8" t="inlineStr">
        <is>
          <t>Admin/tutor vê lista e filtros básicos.</t>
        </is>
      </c>
    </row>
    <row r="8">
      <c r="A8" s="8" t="inlineStr">
        <is>
          <t>C. Usuários &amp; Vínculos</t>
        </is>
      </c>
      <c r="B8" s="8" t="inlineStr">
        <is>
          <t>Vínculo tutor↔alfabetizando</t>
        </is>
      </c>
      <c r="C8" s="8" t="inlineStr">
        <is>
          <t>Solicitar/confirmar/negar vínculo com motivo; status pendente/confirmado/negado.</t>
        </is>
      </c>
      <c r="D8" s="8" t="inlineStr">
        <is>
          <t>Web + Supabase</t>
        </is>
      </c>
      <c r="E8" s="8" t="inlineStr">
        <is>
          <t>Alta</t>
        </is>
      </c>
      <c r="F8" s="8" t="inlineStr">
        <is>
          <t>M</t>
        </is>
      </c>
      <c r="G8" s="8" t="n">
        <v>10</v>
      </c>
      <c r="H8" s="8" t="n">
        <v>22</v>
      </c>
      <c r="I8" s="8" t="inlineStr">
        <is>
          <t>links table + RLS</t>
        </is>
      </c>
      <c r="J8" s="8" t="inlineStr">
        <is>
          <t>Tutor confirma/nega; só vinculados aparecem para ele.</t>
        </is>
      </c>
    </row>
    <row r="9">
      <c r="A9" s="8" t="inlineStr">
        <is>
          <t>C. Usuários &amp; Vínculos</t>
        </is>
      </c>
      <c r="B9" s="8" t="inlineStr">
        <is>
          <t>Grupos e membros</t>
        </is>
      </c>
      <c r="C9" s="8" t="inlineStr">
        <is>
          <t>Criar grupo, adicionar/remover membros; regra: bloquear inclusão quando avançado.</t>
        </is>
      </c>
      <c r="D9" s="8" t="inlineStr">
        <is>
          <t>Web + Supabase</t>
        </is>
      </c>
      <c r="E9" s="8" t="inlineStr">
        <is>
          <t>Média</t>
        </is>
      </c>
      <c r="F9" s="8" t="inlineStr">
        <is>
          <t>M</t>
        </is>
      </c>
      <c r="G9" s="8" t="n">
        <v>10</v>
      </c>
      <c r="H9" s="8" t="n">
        <v>22</v>
      </c>
      <c r="I9" s="8" t="inlineStr">
        <is>
          <t>groups + business rule</t>
        </is>
      </c>
      <c r="J9" s="8" t="inlineStr">
        <is>
          <t>Regra de bloqueio funciona; log simples.</t>
        </is>
      </c>
    </row>
    <row r="10">
      <c r="A10" s="8" t="inlineStr">
        <is>
          <t>D. Atendimento</t>
        </is>
      </c>
      <c r="B10" s="8" t="inlineStr">
        <is>
          <t>Inbox de pedidos/locks</t>
        </is>
      </c>
      <c r="C10" s="8" t="inlineStr">
        <is>
          <t>Tela tipo fila com help_requests e locks; filtros por status e aluno.</t>
        </is>
      </c>
      <c r="D10" s="8" t="inlineStr">
        <is>
          <t>Web + Supabase</t>
        </is>
      </c>
      <c r="E10" s="8" t="inlineStr">
        <is>
          <t>Alta</t>
        </is>
      </c>
      <c r="F10" s="8" t="inlineStr">
        <is>
          <t>M</t>
        </is>
      </c>
      <c r="G10" s="8" t="n">
        <v>10</v>
      </c>
      <c r="H10" s="8" t="n">
        <v>22</v>
      </c>
      <c r="I10" s="8" t="inlineStr">
        <is>
          <t>locks/help_requests</t>
        </is>
      </c>
      <c r="J10" s="8" t="inlineStr">
        <is>
          <t>Tutor vê fila dos seus; admin vê global.</t>
        </is>
      </c>
    </row>
    <row r="11">
      <c r="A11" s="8" t="inlineStr">
        <is>
          <t>D. Atendimento</t>
        </is>
      </c>
      <c r="B11" s="8" t="inlineStr">
        <is>
          <t>Destravar tela</t>
        </is>
      </c>
      <c r="C11" s="8" t="inlineStr">
        <is>
          <t>Ação de unlock (Edge Function ou update controlado) + registro de quem destravou.</t>
        </is>
      </c>
      <c r="D11" s="8" t="inlineStr">
        <is>
          <t>Supabase (Function) + Web</t>
        </is>
      </c>
      <c r="E11" s="8" t="inlineStr">
        <is>
          <t>Alta</t>
        </is>
      </c>
      <c r="F11" s="8" t="inlineStr">
        <is>
          <t>M</t>
        </is>
      </c>
      <c r="G11" s="8" t="n">
        <v>8</v>
      </c>
      <c r="H11" s="8" t="n">
        <v>18</v>
      </c>
      <c r="I11" s="8" t="inlineStr">
        <is>
          <t>RLS + function</t>
        </is>
      </c>
      <c r="J11" s="8" t="inlineStr">
        <is>
          <t>Ao destravar, app consegue prosseguir; auditoria básica.</t>
        </is>
      </c>
    </row>
    <row r="12">
      <c r="A12" s="8" t="inlineStr">
        <is>
          <t>D. Atendimento</t>
        </is>
      </c>
      <c r="B12" s="8" t="inlineStr">
        <is>
          <t>Ver submissões (foto/áudio)</t>
        </is>
      </c>
      <c r="C12" s="8" t="inlineStr">
        <is>
          <t>Listar submissões e abrir mídia (signed URL) para checagem do tutor.</t>
        </is>
      </c>
      <c r="D12" s="8" t="inlineStr">
        <is>
          <t>Web + Storage</t>
        </is>
      </c>
      <c r="E12" s="8" t="inlineStr">
        <is>
          <t>Média</t>
        </is>
      </c>
      <c r="F12" s="8" t="inlineStr">
        <is>
          <t>M</t>
        </is>
      </c>
      <c r="G12" s="8" t="n">
        <v>8</v>
      </c>
      <c r="H12" s="8" t="n">
        <v>16</v>
      </c>
      <c r="I12" s="8" t="inlineStr">
        <is>
          <t>submissions + signed URL</t>
        </is>
      </c>
      <c r="J12" s="8" t="inlineStr">
        <is>
          <t>Tutor abre mídia do seu aluno com link temporário.</t>
        </is>
      </c>
    </row>
    <row r="13">
      <c r="A13" s="8" t="inlineStr">
        <is>
          <t>E. Métricas</t>
        </is>
      </c>
      <c r="B13" s="8" t="inlineStr">
        <is>
          <t>Dashboard básico (progresso)</t>
        </is>
      </c>
      <c r="C13" s="8" t="inlineStr">
        <is>
          <t>KPIs: % concluído, etapa atual, inatividade, tentativas/erros (agregado).</t>
        </is>
      </c>
      <c r="D13" s="8" t="inlineStr">
        <is>
          <t>Web + Supabase</t>
        </is>
      </c>
      <c r="E13" s="8" t="inlineStr">
        <is>
          <t>Alta</t>
        </is>
      </c>
      <c r="F13" s="8" t="inlineStr">
        <is>
          <t>M</t>
        </is>
      </c>
      <c r="G13" s="8" t="n">
        <v>12</v>
      </c>
      <c r="H13" s="8" t="n">
        <v>26</v>
      </c>
      <c r="I13" s="8" t="inlineStr">
        <is>
          <t>progress/attempts views</t>
        </is>
      </c>
      <c r="J13" s="8" t="inlineStr">
        <is>
          <t>Filtros por tutor/grupo; números conferem.</t>
        </is>
      </c>
    </row>
    <row r="14">
      <c r="A14" s="8" t="inlineStr">
        <is>
          <t>E. Métricas</t>
        </is>
      </c>
      <c r="B14" s="8" t="inlineStr">
        <is>
          <t>Ranking simples</t>
        </is>
      </c>
      <c r="C14" s="8" t="inlineStr">
        <is>
          <t>Ranking por pontos/etapas (top N) com período simples (mês/geral).</t>
        </is>
      </c>
      <c r="D14" s="8" t="inlineStr">
        <is>
          <t>Web + Supabase</t>
        </is>
      </c>
      <c r="E14" s="8" t="inlineStr">
        <is>
          <t>Média</t>
        </is>
      </c>
      <c r="F14" s="8" t="inlineStr">
        <is>
          <t>S</t>
        </is>
      </c>
      <c r="G14" s="8" t="n">
        <v>6</v>
      </c>
      <c r="H14" s="8" t="n">
        <v>14</v>
      </c>
      <c r="I14" s="8" t="inlineStr">
        <is>
          <t>points_ledger</t>
        </is>
      </c>
      <c r="J14" s="8" t="inlineStr">
        <is>
          <t>Ranking ordena corretamente; critério documentado.</t>
        </is>
      </c>
    </row>
    <row r="15">
      <c r="A15" s="8" t="inlineStr">
        <is>
          <t>F. Notificações</t>
        </is>
      </c>
      <c r="B15" s="8" t="inlineStr">
        <is>
          <t>Feed de notificações (mínimo)</t>
        </is>
      </c>
      <c r="C15" s="8" t="inlineStr">
        <is>
          <t>Tabela notifications + listagem no Web; gatilhos básicos (lock/criação vínculo).</t>
        </is>
      </c>
      <c r="D15" s="8" t="inlineStr">
        <is>
          <t>Web + Supabase</t>
        </is>
      </c>
      <c r="E15" s="8" t="inlineStr">
        <is>
          <t>Baixa</t>
        </is>
      </c>
      <c r="F15" s="8" t="inlineStr">
        <is>
          <t>S</t>
        </is>
      </c>
      <c r="G15" s="8" t="n">
        <v>6</v>
      </c>
      <c r="H15" s="8" t="n">
        <v>12</v>
      </c>
      <c r="I15" s="8" t="inlineStr">
        <is>
          <t>notifications</t>
        </is>
      </c>
      <c r="J15" s="8" t="inlineStr">
        <is>
          <t>Notificação aparece para tutor/admin.</t>
        </is>
      </c>
    </row>
    <row r="16">
      <c r="A16" s="8" t="inlineStr">
        <is>
          <t>G. Operação</t>
        </is>
      </c>
      <c r="B16" s="8" t="inlineStr">
        <is>
          <t>Auditoria mínima</t>
        </is>
      </c>
      <c r="C16" s="8" t="inlineStr">
        <is>
          <t>audit_log para ações críticas (unlock, aprovar/recusar).</t>
        </is>
      </c>
      <c r="D16" s="8" t="inlineStr">
        <is>
          <t>Supabase (DB) + Web</t>
        </is>
      </c>
      <c r="E16" s="8" t="inlineStr">
        <is>
          <t>Média</t>
        </is>
      </c>
      <c r="F16" s="8" t="inlineStr">
        <is>
          <t>S</t>
        </is>
      </c>
      <c r="G16" s="8" t="n">
        <v>6</v>
      </c>
      <c r="H16" s="8" t="n">
        <v>12</v>
      </c>
      <c r="I16" s="8" t="inlineStr">
        <is>
          <t>actions</t>
        </is>
      </c>
      <c r="J16" s="8" t="inlineStr">
        <is>
          <t>Ações críticas registradas com autor e timestamp.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4" customWidth="1" min="4" max="4"/>
  </cols>
  <sheetData>
    <row r="1" ht="24" customHeight="1">
      <c r="A1" s="7" t="inlineStr">
        <is>
          <t>Módulo</t>
        </is>
      </c>
      <c r="B1" s="7" t="inlineStr">
        <is>
          <t>Horas mín (soma)</t>
        </is>
      </c>
      <c r="C1" s="7" t="inlineStr">
        <is>
          <t>Horas máx (soma)</t>
        </is>
      </c>
      <c r="D1" s="7" t="inlineStr">
        <is>
          <t>Observação</t>
        </is>
      </c>
    </row>
    <row r="2">
      <c r="A2" s="8" t="inlineStr">
        <is>
          <t>A. Segurança &amp; Acesso</t>
        </is>
      </c>
      <c r="B2" s="8">
        <f>SUMIF(Backlog_MVP!$A:$A,"A. Segurança &amp; Acesso",Backlog_MVP!$G:$G)</f>
        <v/>
      </c>
      <c r="C2" s="8">
        <f>SUMIF(Backlog_MVP!$A:$A,"A. Segurança &amp; Acesso",Backlog_MVP!$H:$H)</f>
        <v/>
      </c>
      <c r="D2" s="8" t="inlineStr">
        <is>
          <t>Faixa por funcionalidade; ajuste conforme backlog fechado.</t>
        </is>
      </c>
    </row>
    <row r="3">
      <c r="A3" s="8" t="inlineStr">
        <is>
          <t>B. CMS Conteúdo</t>
        </is>
      </c>
      <c r="B3" s="8">
        <f>SUMIF(Backlog_MVP!$A:$A,"B. CMS Conteúdo",Backlog_MVP!$G:$G)</f>
        <v/>
      </c>
      <c r="C3" s="8">
        <f>SUMIF(Backlog_MVP!$A:$A,"B. CMS Conteúdo",Backlog_MVP!$H:$H)</f>
        <v/>
      </c>
      <c r="D3" s="8" t="inlineStr">
        <is>
          <t>Faixa por funcionalidade; ajuste conforme backlog fechado.</t>
        </is>
      </c>
    </row>
    <row r="4">
      <c r="A4" s="8" t="inlineStr">
        <is>
          <t>C. Usuários &amp; Vínculos</t>
        </is>
      </c>
      <c r="B4" s="8">
        <f>SUMIF(Backlog_MVP!$A:$A,"C. Usuários &amp; Vínculos",Backlog_MVP!$G:$G)</f>
        <v/>
      </c>
      <c r="C4" s="8">
        <f>SUMIF(Backlog_MVP!$A:$A,"C. Usuários &amp; Vínculos",Backlog_MVP!$H:$H)</f>
        <v/>
      </c>
      <c r="D4" s="8" t="inlineStr">
        <is>
          <t>Faixa por funcionalidade; ajuste conforme backlog fechado.</t>
        </is>
      </c>
    </row>
    <row r="5">
      <c r="A5" s="8" t="inlineStr">
        <is>
          <t>D. Atendimento</t>
        </is>
      </c>
      <c r="B5" s="8">
        <f>SUMIF(Backlog_MVP!$A:$A,"D. Atendimento",Backlog_MVP!$G:$G)</f>
        <v/>
      </c>
      <c r="C5" s="8">
        <f>SUMIF(Backlog_MVP!$A:$A,"D. Atendimento",Backlog_MVP!$H:$H)</f>
        <v/>
      </c>
      <c r="D5" s="8" t="inlineStr">
        <is>
          <t>Faixa por funcionalidade; ajuste conforme backlog fechado.</t>
        </is>
      </c>
    </row>
    <row r="6">
      <c r="A6" s="8" t="inlineStr">
        <is>
          <t>E. Métricas</t>
        </is>
      </c>
      <c r="B6" s="8">
        <f>SUMIF(Backlog_MVP!$A:$A,"E. Métricas",Backlog_MVP!$G:$G)</f>
        <v/>
      </c>
      <c r="C6" s="8">
        <f>SUMIF(Backlog_MVP!$A:$A,"E. Métricas",Backlog_MVP!$H:$H)</f>
        <v/>
      </c>
      <c r="D6" s="8" t="inlineStr">
        <is>
          <t>Faixa por funcionalidade; ajuste conforme backlog fechado.</t>
        </is>
      </c>
    </row>
    <row r="7">
      <c r="A7" s="8" t="inlineStr">
        <is>
          <t>F. Notificações</t>
        </is>
      </c>
      <c r="B7" s="8">
        <f>SUMIF(Backlog_MVP!$A:$A,"F. Notificações",Backlog_MVP!$G:$G)</f>
        <v/>
      </c>
      <c r="C7" s="8">
        <f>SUMIF(Backlog_MVP!$A:$A,"F. Notificações",Backlog_MVP!$H:$H)</f>
        <v/>
      </c>
      <c r="D7" s="8" t="inlineStr">
        <is>
          <t>Faixa por funcionalidade; ajuste conforme backlog fechado.</t>
        </is>
      </c>
    </row>
    <row r="8">
      <c r="A8" s="8" t="inlineStr">
        <is>
          <t>G. Operação</t>
        </is>
      </c>
      <c r="B8" s="8">
        <f>SUMIF(Backlog_MVP!$A:$A,"G. Operação",Backlog_MVP!$G:$G)</f>
        <v/>
      </c>
      <c r="C8" s="8">
        <f>SUMIF(Backlog_MVP!$A:$A,"G. Operação",Backlog_MVP!$H:$H)</f>
        <v/>
      </c>
      <c r="D8" s="8" t="inlineStr">
        <is>
          <t>Faixa por funcionalidade; ajuste conforme backlog fechado.</t>
        </is>
      </c>
    </row>
    <row r="9">
      <c r="A9" s="3" t="inlineStr">
        <is>
          <t>TOTAL</t>
        </is>
      </c>
      <c r="B9" s="3">
        <f>SUM(B2:B8)</f>
        <v/>
      </c>
      <c r="C9" s="3">
        <f>SUM(C2:C8)</f>
        <v/>
      </c>
      <c r="D9" s="3" t="inlineStr">
        <is>
          <t>Total estimado do MVP (faixa).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2" customWidth="1" min="4" max="4"/>
    <col width="28" customWidth="1" min="5" max="5"/>
  </cols>
  <sheetData>
    <row r="1" ht="24" customHeight="1">
      <c r="A1" s="7" t="inlineStr">
        <is>
          <t>Mês</t>
        </is>
      </c>
      <c r="B1" s="7" t="inlineStr">
        <is>
          <t>Horas (time)</t>
        </is>
      </c>
      <c r="C1" s="7" t="inlineStr">
        <is>
          <t>Foco do mês (milestone)</t>
        </is>
      </c>
      <c r="D1" s="7" t="inlineStr">
        <is>
          <t>Entregáveis (resumo)</t>
        </is>
      </c>
      <c r="E1" s="7" t="inlineStr">
        <is>
          <t>Riscos/Dependências</t>
        </is>
      </c>
    </row>
    <row r="2">
      <c r="A2" s="8" t="n">
        <v>1</v>
      </c>
      <c r="B2" s="8">
        <f>Resumo!B4</f>
        <v/>
      </c>
      <c r="C2" s="8" t="inlineStr">
        <is>
          <t>Base Supabase + CMS mínimo</t>
        </is>
      </c>
      <c r="D2" s="8" t="inlineStr">
        <is>
          <t>Auth+papéis; RLS base; CRUD tema/etapa/atividade; buckets e upload funcionando.</t>
        </is>
      </c>
      <c r="E2" s="8" t="inlineStr">
        <is>
          <t>Dependência: regras do produto e dados mínimos.</t>
        </is>
      </c>
    </row>
    <row r="3">
      <c r="A3" s="8" t="n">
        <v>2</v>
      </c>
      <c r="B3" s="8">
        <f>Resumo!B4</f>
        <v/>
      </c>
      <c r="C3" s="8" t="inlineStr">
        <is>
          <t>Usuários, vínculos e grupos</t>
        </is>
      </c>
      <c r="D3" s="8" t="inlineStr">
        <is>
          <t>CRUD alfabetizandos/alfabetizadores; vínculo confirmar/negar; grupos e membros.</t>
        </is>
      </c>
      <c r="E3" s="8" t="inlineStr">
        <is>
          <t>RLS deve cobrir joins de vínculo/grupo.</t>
        </is>
      </c>
    </row>
    <row r="4">
      <c r="A4" s="8" t="n">
        <v>3</v>
      </c>
      <c r="B4" s="8">
        <f>Resumo!B4</f>
        <v/>
      </c>
      <c r="C4" s="8" t="inlineStr">
        <is>
          <t>Atendimento + métricas básicas</t>
        </is>
      </c>
      <c r="D4" s="8" t="inlineStr">
        <is>
          <t>Inbox help/locks; destravar; dashboard progresso/inatividade; ranking simples.</t>
        </is>
      </c>
      <c r="E4" s="8" t="inlineStr">
        <is>
          <t>Modelagem de progress/attempts precisa estar estável.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6" customWidth="1" min="3" max="3"/>
    <col width="12" customWidth="1" min="4" max="4"/>
    <col width="10" customWidth="1" min="5" max="5"/>
    <col width="14" customWidth="1" min="6" max="6"/>
    <col width="12" customWidth="1" min="7" max="7"/>
  </cols>
  <sheetData>
    <row r="1" ht="24" customHeight="1">
      <c r="A1" s="7" t="inlineStr">
        <is>
          <t>Item</t>
        </is>
      </c>
      <c r="B1" s="7" t="inlineStr">
        <is>
          <t>Fornecedor</t>
        </is>
      </c>
      <c r="C1" s="7" t="inlineStr">
        <is>
          <t>Plano/Obs.</t>
        </is>
      </c>
      <c r="D1" s="7" t="inlineStr">
        <is>
          <t>Custo (moeda)</t>
        </is>
      </c>
      <c r="E1" s="7" t="inlineStr">
        <is>
          <t>Valor</t>
        </is>
      </c>
      <c r="F1" s="7" t="inlineStr">
        <is>
          <t>Periodicidade</t>
        </is>
      </c>
      <c r="G1" s="7" t="inlineStr">
        <is>
          <t>Quem paga</t>
        </is>
      </c>
    </row>
    <row r="2">
      <c r="A2" s="8" t="inlineStr">
        <is>
          <t>Backend</t>
        </is>
      </c>
      <c r="B2" s="8" t="inlineStr">
        <is>
          <t>Supabase</t>
        </is>
      </c>
      <c r="C2" s="8" t="inlineStr">
        <is>
          <t>Free (MVP) ou Pro (produção). Pro inicia em US$25/mês (+ uso).</t>
        </is>
      </c>
      <c r="D2" s="8" t="inlineStr">
        <is>
          <t>USD</t>
        </is>
      </c>
      <c r="E2" s="8" t="inlineStr"/>
      <c r="F2" s="8" t="inlineStr">
        <is>
          <t>Mensal</t>
        </is>
      </c>
      <c r="G2" s="8" t="inlineStr">
        <is>
          <t>Cliente</t>
        </is>
      </c>
    </row>
    <row r="3">
      <c r="A3" s="8" t="inlineStr">
        <is>
          <t>Storage (upload)</t>
        </is>
      </c>
      <c r="B3" s="8" t="inlineStr">
        <is>
          <t>Supabase Storage</t>
        </is>
      </c>
      <c r="C3" s="8" t="inlineStr">
        <is>
          <t>Usar signed upload URL (2h) para upload seguro.</t>
        </is>
      </c>
      <c r="D3" s="8" t="inlineStr">
        <is>
          <t>—</t>
        </is>
      </c>
      <c r="E3" s="8" t="inlineStr"/>
      <c r="F3" s="8" t="inlineStr">
        <is>
          <t>Uso</t>
        </is>
      </c>
      <c r="G3" s="8" t="inlineStr">
        <is>
          <t>Cliente</t>
        </is>
      </c>
    </row>
    <row r="4">
      <c r="A4" s="8" t="inlineStr">
        <is>
          <t>Hospedagem Web</t>
        </is>
      </c>
      <c r="B4" s="8" t="inlineStr">
        <is>
          <t>Hostinger</t>
        </is>
      </c>
      <c r="C4" s="8" t="inlineStr">
        <is>
          <t>Web estático ou Node.js Apps (se necessário).</t>
        </is>
      </c>
      <c r="D4" s="8" t="inlineStr">
        <is>
          <t>BRL</t>
        </is>
      </c>
      <c r="E4" s="8" t="inlineStr"/>
      <c r="F4" s="8" t="inlineStr">
        <is>
          <t>Mensal/Anual</t>
        </is>
      </c>
      <c r="G4" s="8" t="inlineStr">
        <is>
          <t>Cliente</t>
        </is>
      </c>
    </row>
    <row r="5">
      <c r="A5" s="8" t="inlineStr">
        <is>
          <t>Domínio</t>
        </is>
      </c>
      <c r="B5" s="8" t="inlineStr">
        <is>
          <t>Registro</t>
        </is>
      </c>
      <c r="C5" s="8" t="inlineStr">
        <is>
          <t>Domínio do projeto (já existe).</t>
        </is>
      </c>
      <c r="D5" s="8" t="inlineStr">
        <is>
          <t>BRL</t>
        </is>
      </c>
      <c r="E5" s="8" t="inlineStr"/>
      <c r="F5" s="8" t="inlineStr">
        <is>
          <t>Anual</t>
        </is>
      </c>
      <c r="G5" s="8" t="inlineStr">
        <is>
          <t>Cliente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56" customWidth="1" min="4" max="4"/>
  </cols>
  <sheetData>
    <row r="1" ht="24" customHeight="1">
      <c r="A1" s="7" t="inlineStr">
        <is>
          <t>Sigla/Termo</t>
        </is>
      </c>
      <c r="B1" s="7" t="inlineStr">
        <is>
          <t>Significado</t>
        </is>
      </c>
      <c r="C1" s="7" t="inlineStr">
        <is>
          <t>Onde aparece</t>
        </is>
      </c>
      <c r="D1" s="7" t="inlineStr">
        <is>
          <t>Explicação básica</t>
        </is>
      </c>
    </row>
    <row r="2">
      <c r="A2" s="8" t="inlineStr">
        <is>
          <t>MVP</t>
        </is>
      </c>
      <c r="B2" s="8" t="inlineStr">
        <is>
          <t>Minimum Viable Product</t>
        </is>
      </c>
      <c r="C2" s="8" t="inlineStr">
        <is>
          <t>Resumo / Backlog</t>
        </is>
      </c>
      <c r="D2" s="8" t="inlineStr">
        <is>
          <t>Primeira versão para validar a ideia com o mínimo necessário.</t>
        </is>
      </c>
    </row>
    <row r="3">
      <c r="A3" s="8" t="inlineStr">
        <is>
          <t>CRUD</t>
        </is>
      </c>
      <c r="B3" s="8" t="inlineStr">
        <is>
          <t>Create, Read, Update, Delete</t>
        </is>
      </c>
      <c r="C3" s="8" t="inlineStr">
        <is>
          <t>Backlog (CMS/usuários/grupos)</t>
        </is>
      </c>
      <c r="D3" s="8" t="inlineStr">
        <is>
          <t>Criar, listar/consultar, editar e excluir dados.</t>
        </is>
      </c>
    </row>
    <row r="4">
      <c r="A4" s="8" t="inlineStr">
        <is>
          <t>RLS</t>
        </is>
      </c>
      <c r="B4" s="8" t="inlineStr">
        <is>
          <t>Row Level Security</t>
        </is>
      </c>
      <c r="C4" s="8" t="inlineStr">
        <is>
          <t>Backlog (Segurança)</t>
        </is>
      </c>
      <c r="D4" s="8" t="inlineStr">
        <is>
          <t>Regras no Postgres que limitam acesso a linhas conforme usuário/papel.</t>
        </is>
      </c>
    </row>
    <row r="5">
      <c r="A5" s="8" t="inlineStr">
        <is>
          <t>JWT</t>
        </is>
      </c>
      <c r="B5" s="8" t="inlineStr">
        <is>
          <t>JSON Web Token</t>
        </is>
      </c>
      <c r="C5" s="8" t="inlineStr">
        <is>
          <t>Auth</t>
        </is>
      </c>
      <c r="D5" s="8" t="inlineStr">
        <is>
          <t>Token assinado usado para autenticar e carregar claims (ex.: papel).</t>
        </is>
      </c>
    </row>
    <row r="6">
      <c r="A6" s="8" t="inlineStr">
        <is>
          <t>RBAC</t>
        </is>
      </c>
      <c r="B6" s="8" t="inlineStr">
        <is>
          <t>Role-Based Access Control</t>
        </is>
      </c>
      <c r="C6" s="8" t="inlineStr">
        <is>
          <t>Segurança / menus</t>
        </is>
      </c>
      <c r="D6" s="8" t="inlineStr">
        <is>
          <t>Controle de acesso por papéis (admin/tutor/learner).</t>
        </is>
      </c>
    </row>
    <row r="7">
      <c r="A7" s="8" t="inlineStr">
        <is>
          <t>SLA</t>
        </is>
      </c>
      <c r="B7" s="8" t="inlineStr">
        <is>
          <t>Service Level Agreement</t>
        </is>
      </c>
      <c r="C7" s="8" t="inlineStr">
        <is>
          <t>Suporte</t>
        </is>
      </c>
      <c r="D7" s="8" t="inlineStr">
        <is>
          <t>Acordo de prazos de resposta/correção e como medir o serviço.</t>
        </is>
      </c>
    </row>
    <row r="8">
      <c r="A8" s="8" t="inlineStr">
        <is>
          <t>KPI</t>
        </is>
      </c>
      <c r="B8" s="8" t="inlineStr">
        <is>
          <t>Key Performance Indicator</t>
        </is>
      </c>
      <c r="C8" s="8" t="inlineStr">
        <is>
          <t>Dashboards</t>
        </is>
      </c>
      <c r="D8" s="8" t="inlineStr">
        <is>
          <t>Indicadores-chave: progresso, inatividade, taxa de erro, tempo de resposta.</t>
        </is>
      </c>
    </row>
    <row r="9">
      <c r="A9" s="8" t="inlineStr">
        <is>
          <t>QA</t>
        </is>
      </c>
      <c r="B9" s="8" t="inlineStr">
        <is>
          <t>Quality Assurance</t>
        </is>
      </c>
      <c r="C9" s="8" t="inlineStr">
        <is>
          <t>Reserva de horas</t>
        </is>
      </c>
      <c r="D9" s="8" t="inlineStr">
        <is>
          <t>Testes e verificação de qualidade (inclui regressão).</t>
        </is>
      </c>
    </row>
    <row r="10">
      <c r="A10" s="8" t="inlineStr">
        <is>
          <t>DB</t>
        </is>
      </c>
      <c r="B10" s="8" t="inlineStr">
        <is>
          <t>Database</t>
        </is>
      </c>
      <c r="C10" s="8" t="inlineStr">
        <is>
          <t>Supabase</t>
        </is>
      </c>
      <c r="D10" s="8" t="inlineStr">
        <is>
          <t>Banco Postgres com tabelas do produto.</t>
        </is>
      </c>
    </row>
    <row r="11">
      <c r="A11" s="8" t="inlineStr">
        <is>
          <t>Storage</t>
        </is>
      </c>
      <c r="B11" s="8" t="inlineStr">
        <is>
          <t>Armazenamento de arquivos</t>
        </is>
      </c>
      <c r="C11" s="8" t="inlineStr">
        <is>
          <t>Uploads</t>
        </is>
      </c>
      <c r="D11" s="8" t="inlineStr">
        <is>
          <t>Guardar vídeos, imagens, áudios e PDFs.</t>
        </is>
      </c>
    </row>
    <row r="12">
      <c r="A12" s="8" t="inlineStr">
        <is>
          <t>Signed URL</t>
        </is>
      </c>
      <c r="B12" s="8" t="inlineStr">
        <is>
          <t>URL assinada</t>
        </is>
      </c>
      <c r="C12" s="8" t="inlineStr">
        <is>
          <t>Mídia</t>
        </is>
      </c>
      <c r="D12" s="8" t="inlineStr">
        <is>
          <t>Link temporário para baixar/assistir arquivo sem expor bucket publicamente.</t>
        </is>
      </c>
    </row>
    <row r="13">
      <c r="A13" s="8" t="inlineStr">
        <is>
          <t>Edge Function</t>
        </is>
      </c>
      <c r="B13" s="8" t="inlineStr">
        <is>
          <t>Função server-side</t>
        </is>
      </c>
      <c r="C13" s="8" t="inlineStr">
        <is>
          <t>Unlock/pontos</t>
        </is>
      </c>
      <c r="D13" s="8" t="inlineStr">
        <is>
          <t>Endpoint com validação forte para ações críticas.</t>
        </is>
      </c>
    </row>
    <row r="14">
      <c r="A14" s="8" t="inlineStr">
        <is>
          <t>Realtime</t>
        </is>
      </c>
      <c r="B14" s="8" t="inlineStr">
        <is>
          <t>Tempo real</t>
        </is>
      </c>
      <c r="C14" s="8" t="inlineStr">
        <is>
          <t>Inbox</t>
        </is>
      </c>
      <c r="D14" s="8" t="inlineStr">
        <is>
          <t>Assina mudanças no banco para atualizar telas sem recarregar.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28" customWidth="1" min="4" max="4"/>
    <col width="28" customWidth="1" min="5" max="5"/>
  </cols>
  <sheetData>
    <row r="1">
      <c r="A1" s="20" t="inlineStr">
        <is>
          <t>Guia básico — como ler este orçamento</t>
        </is>
      </c>
    </row>
    <row r="2" ht="24" customHeight="1">
      <c r="A2" s="7" t="inlineStr">
        <is>
          <t>Aba</t>
        </is>
      </c>
      <c r="B2" s="7" t="inlineStr">
        <is>
          <t>O que é</t>
        </is>
      </c>
      <c r="C2" s="7" t="inlineStr">
        <is>
          <t>O que você ajusta</t>
        </is>
      </c>
      <c r="D2" s="7" t="inlineStr">
        <is>
          <t>O que sai daqui</t>
        </is>
      </c>
      <c r="E2" s="7" t="inlineStr">
        <is>
          <t>Observações</t>
        </is>
      </c>
    </row>
    <row r="3">
      <c r="A3" s="8" t="inlineStr">
        <is>
          <t>Resumo</t>
        </is>
      </c>
      <c r="B3" s="8" t="inlineStr">
        <is>
          <t>Parâmetros do orçamento</t>
        </is>
      </c>
      <c r="C3" s="8" t="inlineStr">
        <is>
          <t>Mensalidade, horas/mês, reserva %</t>
        </is>
      </c>
      <c r="D3" s="8" t="inlineStr">
        <is>
          <t>Custo/h e horas úteis calculados</t>
        </is>
      </c>
      <c r="E3" s="8" t="inlineStr">
        <is>
          <t>Use para explicar o modelo mensal.</t>
        </is>
      </c>
    </row>
    <row r="4">
      <c r="A4" s="8" t="inlineStr">
        <is>
          <t>Backlog_MVP</t>
        </is>
      </c>
      <c r="B4" s="8" t="inlineStr">
        <is>
          <t>Lista de funcionalidades</t>
        </is>
      </c>
      <c r="C4" s="8" t="inlineStr">
        <is>
          <t>Horas mín–máx; prioridade; aceite</t>
        </is>
      </c>
      <c r="D4" s="8" t="inlineStr">
        <is>
          <t>Escopo do MVP por item</t>
        </is>
      </c>
      <c r="E4" s="8" t="inlineStr">
        <is>
          <t>Base para backlog fechado do mês.</t>
        </is>
      </c>
    </row>
    <row r="5">
      <c r="A5" s="8" t="inlineStr">
        <is>
          <t>Estimativa</t>
        </is>
      </c>
      <c r="B5" s="8" t="inlineStr">
        <is>
          <t>Soma por módulo</t>
        </is>
      </c>
      <c r="C5" s="8" t="inlineStr">
        <is>
          <t>—</t>
        </is>
      </c>
      <c r="D5" s="8" t="inlineStr">
        <is>
          <t>Horas totais (faixa) do MVP</t>
        </is>
      </c>
      <c r="E5" s="8" t="inlineStr">
        <is>
          <t>Ajuda a justificar esforço.</t>
        </is>
      </c>
    </row>
    <row r="6">
      <c r="A6" s="8" t="inlineStr">
        <is>
          <t>Mensalidade</t>
        </is>
      </c>
      <c r="B6" s="8" t="inlineStr">
        <is>
          <t>Milestones por mês</t>
        </is>
      </c>
      <c r="C6" s="8" t="inlineStr">
        <is>
          <t>Horas/mês (automático do Resumo)</t>
        </is>
      </c>
      <c r="D6" s="8" t="inlineStr">
        <is>
          <t>Plano de entrega mensal</t>
        </is>
      </c>
      <c r="E6" s="8" t="inlineStr">
        <is>
          <t>Boa para contrato por retainer.</t>
        </is>
      </c>
    </row>
    <row r="7">
      <c r="A7" s="8" t="inlineStr">
        <is>
          <t>Infra</t>
        </is>
      </c>
      <c r="B7" s="8" t="inlineStr">
        <is>
          <t>Custos recorrentes</t>
        </is>
      </c>
      <c r="C7" s="8" t="inlineStr">
        <is>
          <t>Valores conforme cliente</t>
        </is>
      </c>
      <c r="D7" s="8" t="inlineStr">
        <is>
          <t>Infra separada da mão de obra</t>
        </is>
      </c>
      <c r="E7" s="8" t="inlineStr">
        <is>
          <t>Supabase/hosting normalmente do cliente.</t>
        </is>
      </c>
    </row>
    <row r="8">
      <c r="A8" s="8" t="inlineStr">
        <is>
          <t>Glossário</t>
        </is>
      </c>
      <c r="B8" s="8" t="inlineStr">
        <is>
          <t>Siglas/termos</t>
        </is>
      </c>
      <c r="C8" s="8" t="inlineStr">
        <is>
          <t>—</t>
        </is>
      </c>
      <c r="D8" s="8" t="inlineStr">
        <is>
          <t>Explicação das siglas</t>
        </is>
      </c>
      <c r="E8" s="8" t="inlineStr">
        <is>
          <t>Evita ruído com cliente.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2026-02-17T01:03:17Z</dcterms:created>
  <dcterms:modified xmlns:dcterms="http://purl.org/dc/terms/" xmlns:xsi="http://www.w3.org/2001/XMLSchema-instance" xsi:type="dcterms:W3CDTF">2026-02-17T01:15:07Z</dcterms:modified>
</cp:coreProperties>
</file>