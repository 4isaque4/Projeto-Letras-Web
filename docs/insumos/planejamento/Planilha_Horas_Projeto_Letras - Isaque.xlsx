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ras Marco 2026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Tecnologias e Cu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\R\$\ #,##0.00"/>
    <numFmt numFmtId="165" formatCode="hh:mm"/>
    <numFmt numFmtId="166" formatCode="[$R$ -416]#,##0.00"/>
  </numFmts>
  <fonts count="7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color theme="1"/>
    </font>
    <font>
      <name val="Calibri"/>
      <b val="1"/>
      <color theme="1"/>
    </font>
    <font>
      <name val="Calibri"/>
      <b val="1"/>
      <color theme="1"/>
      <sz val="11"/>
    </font>
    <font>
      <name val="Calibri"/>
      <b val="1"/>
      <color rgb="FFFF0000"/>
      <sz val="12"/>
    </font>
  </fonts>
  <fills count="4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20" fontId="2" fillId="0" borderId="0" pivotButton="0" quotePrefix="0" xfId="0"/>
    <xf numFmtId="165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6" fontId="2" fillId="0" borderId="0" pivotButton="0" quotePrefix="0" xfId="0"/>
    <xf numFmtId="0" fontId="6" fillId="0" borderId="0" pivotButton="0" quotePrefix="0" xfId="0"/>
    <xf numFmtId="166" fontId="6" fillId="0" borderId="0" pivotButton="0" quotePrefix="0" xfId="0"/>
    <xf numFmtId="0" fontId="1" fillId="3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8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13" min="1" max="1"/>
    <col width="8" customWidth="1" style="13" min="2" max="2"/>
    <col width="10" customWidth="1" style="13" min="3" max="4"/>
    <col width="22.86" customWidth="1" style="13" min="5" max="5"/>
    <col width="12" customWidth="1" style="13" min="6" max="7"/>
    <col width="70" customWidth="1" style="13" min="8" max="8"/>
    <col width="12" customWidth="1" style="13" min="9" max="9"/>
    <col width="14" customWidth="1" style="13" min="10" max="10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Inicio</t>
        </is>
      </c>
      <c r="D1" s="1" t="inlineStr">
        <is>
          <t>Fim</t>
        </is>
      </c>
      <c r="E1" s="1" t="inlineStr">
        <is>
          <t>Pausa (h)</t>
        </is>
      </c>
      <c r="F1" s="1" t="inlineStr">
        <is>
          <t>Horas liquidas</t>
        </is>
      </c>
      <c r="G1" s="1" t="inlineStr">
        <is>
          <t>Intensidade</t>
        </is>
      </c>
      <c r="H1" s="1" t="inlineStr">
        <is>
          <t>Resumo simples do que foi feito</t>
        </is>
      </c>
      <c r="I1" s="1" t="n"/>
      <c r="J1" s="1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2026-03-06</t>
        </is>
      </c>
      <c r="B2" s="3" t="inlineStr">
        <is>
          <t>Sex</t>
        </is>
      </c>
      <c r="C2" s="3" t="inlineStr">
        <is>
          <t>18:30</t>
        </is>
      </c>
      <c r="D2" s="3" t="inlineStr">
        <is>
          <t>22:00</t>
        </is>
      </c>
      <c r="E2" s="3" t="n">
        <v>0.5</v>
      </c>
      <c r="F2" s="3" t="n">
        <v>3</v>
      </c>
      <c r="G2" s="3" t="inlineStr">
        <is>
          <t>Medio</t>
        </is>
      </c>
      <c r="H2" s="3" t="inlineStr">
        <is>
          <t>Setup de repositorio, estrutura base e padroes iniciais.</t>
        </is>
      </c>
      <c r="I2" s="4" t="n"/>
      <c r="J2" s="4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2026-03-07</t>
        </is>
      </c>
      <c r="B3" s="3" t="inlineStr">
        <is>
          <t>Sab</t>
        </is>
      </c>
      <c r="C3" s="5" t="n">
        <v>0.2708333333333333</v>
      </c>
      <c r="D3" s="3" t="inlineStr">
        <is>
          <t>10:00</t>
        </is>
      </c>
      <c r="E3" s="3" t="n">
        <v>0.5</v>
      </c>
      <c r="F3" s="3" t="n">
        <v>3</v>
      </c>
      <c r="G3" s="3" t="inlineStr">
        <is>
          <t>Medio</t>
        </is>
      </c>
      <c r="H3" s="3" t="inlineStr">
        <is>
          <t>Organizacao de backlog, templates de issue e fluxo de trabalho.</t>
        </is>
      </c>
      <c r="I3" s="4" t="n"/>
      <c r="J3" s="4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2026-03-08</t>
        </is>
      </c>
      <c r="B4" s="3" t="inlineStr">
        <is>
          <t>Dom</t>
        </is>
      </c>
      <c r="C4" s="3" t="inlineStr">
        <is>
          <t>-</t>
        </is>
      </c>
      <c r="D4" s="3" t="inlineStr">
        <is>
          <t>-</t>
        </is>
      </c>
      <c r="E4" s="3" t="n">
        <v>0</v>
      </c>
      <c r="F4" s="3" t="n">
        <v>0</v>
      </c>
      <c r="G4" s="3" t="inlineStr">
        <is>
          <t>Folga</t>
        </is>
      </c>
      <c r="H4" s="3" t="inlineStr">
        <is>
          <t>Sem atividade.</t>
        </is>
      </c>
      <c r="I4" s="4" t="n"/>
      <c r="J4" s="4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2026-03-09</t>
        </is>
      </c>
      <c r="B5" s="3" t="inlineStr">
        <is>
          <t>Seg</t>
        </is>
      </c>
      <c r="C5" s="3" t="inlineStr">
        <is>
          <t>19:00</t>
        </is>
      </c>
      <c r="D5" s="3" t="inlineStr">
        <is>
          <t>22:00</t>
        </is>
      </c>
      <c r="E5" s="3" t="n">
        <v>0.5</v>
      </c>
      <c r="F5" s="3" t="n">
        <v>2.5</v>
      </c>
      <c r="G5" s="3" t="inlineStr">
        <is>
          <t>Medio</t>
        </is>
      </c>
      <c r="H5" s="3" t="inlineStr">
        <is>
          <t>Planejamento de arquitetura front/back e contrato realtime.</t>
        </is>
      </c>
      <c r="I5" s="4" t="n"/>
      <c r="J5" s="4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3" t="inlineStr">
        <is>
          <t>2026-03-10</t>
        </is>
      </c>
      <c r="B6" s="3" t="inlineStr">
        <is>
          <t>Ter</t>
        </is>
      </c>
      <c r="C6" s="3" t="inlineStr">
        <is>
          <t>-</t>
        </is>
      </c>
      <c r="D6" s="3" t="inlineStr">
        <is>
          <t>-</t>
        </is>
      </c>
      <c r="E6" s="3" t="n">
        <v>0</v>
      </c>
      <c r="F6" s="3" t="n">
        <v>0</v>
      </c>
      <c r="G6" s="3" t="inlineStr">
        <is>
          <t>Folga</t>
        </is>
      </c>
      <c r="H6" s="3" t="inlineStr">
        <is>
          <t>Sem atividade.</t>
        </is>
      </c>
      <c r="I6" s="4" t="n"/>
      <c r="J6" s="4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" t="inlineStr">
        <is>
          <t>2026-03-11</t>
        </is>
      </c>
      <c r="B7" s="3" t="inlineStr">
        <is>
          <t>Qua</t>
        </is>
      </c>
      <c r="C7" s="6" t="n">
        <v>0.8541666666666666</v>
      </c>
      <c r="D7" s="3" t="inlineStr">
        <is>
          <t>00:30</t>
        </is>
      </c>
      <c r="E7" s="3" t="n">
        <v>1</v>
      </c>
      <c r="F7" s="3" t="n">
        <v>3</v>
      </c>
      <c r="G7" s="3" t="inlineStr">
        <is>
          <t>Medio</t>
        </is>
      </c>
      <c r="H7" s="3" t="inlineStr">
        <is>
          <t>Scripts de deploy, ajustes de servidor e padronizacao de ambiente.</t>
        </is>
      </c>
      <c r="I7" s="4" t="n"/>
      <c r="J7" s="4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3" t="inlineStr">
        <is>
          <t>2026-03-12</t>
        </is>
      </c>
      <c r="B8" s="3" t="inlineStr">
        <is>
          <t>Qui</t>
        </is>
      </c>
      <c r="C8" s="3" t="inlineStr">
        <is>
          <t>18:30</t>
        </is>
      </c>
      <c r="D8" s="3" t="inlineStr">
        <is>
          <t>22:00</t>
        </is>
      </c>
      <c r="E8" s="3" t="n">
        <v>0.5</v>
      </c>
      <c r="F8" s="3" t="n">
        <v>3</v>
      </c>
      <c r="G8" s="3" t="inlineStr">
        <is>
          <t>Medio</t>
        </is>
      </c>
      <c r="H8" s="3" t="inlineStr">
        <is>
          <t>Configuracao de deploy, DNS e validacoes do ambiente web.</t>
        </is>
      </c>
      <c r="I8" s="4" t="n"/>
      <c r="J8" s="4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3" t="inlineStr">
        <is>
          <t>2026-03-13</t>
        </is>
      </c>
      <c r="B9" s="3" t="inlineStr">
        <is>
          <t>Sex</t>
        </is>
      </c>
      <c r="C9" s="3" t="inlineStr">
        <is>
          <t>-</t>
        </is>
      </c>
      <c r="D9" s="3" t="inlineStr">
        <is>
          <t>-</t>
        </is>
      </c>
      <c r="E9" s="3" t="n">
        <v>0</v>
      </c>
      <c r="F9" s="3" t="n">
        <v>0</v>
      </c>
      <c r="G9" s="3" t="inlineStr">
        <is>
          <t>Folga</t>
        </is>
      </c>
      <c r="H9" s="3" t="inlineStr">
        <is>
          <t>Sem atividade.</t>
        </is>
      </c>
      <c r="I9" s="4" t="n"/>
      <c r="J9" s="4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3" t="inlineStr">
        <is>
          <t>2026-03-14</t>
        </is>
      </c>
      <c r="B10" s="3" t="inlineStr">
        <is>
          <t>Sab</t>
        </is>
      </c>
      <c r="C10" s="3" t="inlineStr">
        <is>
          <t>-</t>
        </is>
      </c>
      <c r="D10" s="3" t="inlineStr">
        <is>
          <t>-</t>
        </is>
      </c>
      <c r="E10" s="3" t="n">
        <v>0</v>
      </c>
      <c r="F10" s="3" t="n">
        <v>0</v>
      </c>
      <c r="G10" s="3" t="inlineStr">
        <is>
          <t>Folga</t>
        </is>
      </c>
      <c r="H10" s="3" t="inlineStr">
        <is>
          <t>Sem atividade.</t>
        </is>
      </c>
      <c r="I10" s="4" t="n"/>
      <c r="J10" s="4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3" t="inlineStr">
        <is>
          <t>2026-03-15</t>
        </is>
      </c>
      <c r="B11" s="3" t="inlineStr">
        <is>
          <t>Dom</t>
        </is>
      </c>
      <c r="C11" s="3" t="inlineStr">
        <is>
          <t>19:00</t>
        </is>
      </c>
      <c r="D11" s="3" t="inlineStr">
        <is>
          <t>22:00</t>
        </is>
      </c>
      <c r="E11" s="3" t="n">
        <v>0.5</v>
      </c>
      <c r="F11" s="3" t="n">
        <v>2.5</v>
      </c>
      <c r="G11" s="3" t="inlineStr">
        <is>
          <t>Medio</t>
        </is>
      </c>
      <c r="H11" s="3" t="inlineStr">
        <is>
          <t>Revisao de interface, textos e consistencia visual do painel.</t>
        </is>
      </c>
      <c r="I11" s="4" t="n"/>
      <c r="J11" s="4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3" t="inlineStr">
        <is>
          <t>2026-03-16</t>
        </is>
      </c>
      <c r="B12" s="3" t="inlineStr">
        <is>
          <t>Seg</t>
        </is>
      </c>
      <c r="C12" s="3" t="inlineStr">
        <is>
          <t>18:30</t>
        </is>
      </c>
      <c r="D12" s="3" t="inlineStr">
        <is>
          <t>22:00</t>
        </is>
      </c>
      <c r="E12" s="3" t="n">
        <v>0.5</v>
      </c>
      <c r="F12" s="3" t="n">
        <v>3</v>
      </c>
      <c r="G12" s="3" t="inlineStr">
        <is>
          <t>Medio</t>
        </is>
      </c>
      <c r="H12" s="3" t="inlineStr">
        <is>
          <t>Ajustes de favicon/logo e melhoria de configuracoes de producao.</t>
        </is>
      </c>
      <c r="I12" s="4" t="n"/>
      <c r="J12" s="4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3" t="inlineStr">
        <is>
          <t>2026-03-17</t>
        </is>
      </c>
      <c r="B13" s="3" t="inlineStr">
        <is>
          <t>Ter</t>
        </is>
      </c>
      <c r="C13" s="3" t="inlineStr">
        <is>
          <t>19:00</t>
        </is>
      </c>
      <c r="D13" s="3" t="inlineStr">
        <is>
          <t>21:30</t>
        </is>
      </c>
      <c r="E13" s="3" t="n">
        <v>0</v>
      </c>
      <c r="F13" s="3" t="n">
        <v>2.5</v>
      </c>
      <c r="G13" s="3" t="inlineStr">
        <is>
          <t>Medio</t>
        </is>
      </c>
      <c r="H13" s="3" t="inlineStr">
        <is>
          <t>Organizacao de issues, board e sequenciamento de entregas.</t>
        </is>
      </c>
      <c r="I13" s="4" t="n"/>
      <c r="J13" s="4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3" t="inlineStr">
        <is>
          <t>2026-03-18</t>
        </is>
      </c>
      <c r="B14" s="3" t="inlineStr">
        <is>
          <t>Qua</t>
        </is>
      </c>
      <c r="C14" s="6" t="n">
        <v>0.8541666666666666</v>
      </c>
      <c r="D14" s="3" t="inlineStr">
        <is>
          <t>00:30</t>
        </is>
      </c>
      <c r="E14" s="3" t="n">
        <v>0.5</v>
      </c>
      <c r="F14" s="3" t="n">
        <v>3.5</v>
      </c>
      <c r="G14" s="3" t="inlineStr">
        <is>
          <t>Alto</t>
        </is>
      </c>
      <c r="H14" s="3" t="inlineStr">
        <is>
          <t>Deploy na VPS, DNS, SSL e validacao de producao.</t>
        </is>
      </c>
      <c r="I14" s="4" t="n"/>
      <c r="J14" s="4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3" t="inlineStr">
        <is>
          <t>2026-03-19</t>
        </is>
      </c>
      <c r="B15" s="3" t="inlineStr">
        <is>
          <t>Qui</t>
        </is>
      </c>
      <c r="C15" s="3" t="inlineStr">
        <is>
          <t>18:30</t>
        </is>
      </c>
      <c r="D15" s="3" t="inlineStr">
        <is>
          <t>22:30</t>
        </is>
      </c>
      <c r="E15" s="3" t="n">
        <v>1</v>
      </c>
      <c r="F15" s="3" t="n">
        <v>3</v>
      </c>
      <c r="G15" s="3" t="inlineStr">
        <is>
          <t>Medio</t>
        </is>
      </c>
      <c r="H15" s="3" t="inlineStr">
        <is>
          <t>Implementacao de modo mock e simulacao de eventos websocket.</t>
        </is>
      </c>
      <c r="I15" s="4" t="n"/>
      <c r="J15" s="4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3" t="inlineStr">
        <is>
          <t>2026-03-20</t>
        </is>
      </c>
      <c r="B16" s="3" t="inlineStr">
        <is>
          <t>Sex</t>
        </is>
      </c>
      <c r="C16" s="3" t="inlineStr">
        <is>
          <t>18:30</t>
        </is>
      </c>
      <c r="D16" s="3" t="inlineStr">
        <is>
          <t>22:00</t>
        </is>
      </c>
      <c r="E16" s="3" t="n">
        <v>0.5</v>
      </c>
      <c r="F16" s="3" t="n">
        <v>3</v>
      </c>
      <c r="G16" s="3" t="inlineStr">
        <is>
          <t>Medio</t>
        </is>
      </c>
      <c r="H16" s="3" t="inlineStr">
        <is>
          <t>Documentacao do contrato v1 e fluxo de integracao.</t>
        </is>
      </c>
      <c r="I16" s="4" t="n"/>
      <c r="J16" s="4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3" t="inlineStr">
        <is>
          <t>2026-03-21</t>
        </is>
      </c>
      <c r="B17" s="3" t="inlineStr">
        <is>
          <t>Sab</t>
        </is>
      </c>
      <c r="C17" s="3" t="inlineStr">
        <is>
          <t>-</t>
        </is>
      </c>
      <c r="D17" s="3" t="inlineStr">
        <is>
          <t>-</t>
        </is>
      </c>
      <c r="E17" s="3" t="n">
        <v>0</v>
      </c>
      <c r="F17" s="3" t="n">
        <v>0</v>
      </c>
      <c r="G17" s="3" t="inlineStr">
        <is>
          <t>Folga</t>
        </is>
      </c>
      <c r="H17" s="3" t="inlineStr">
        <is>
          <t>Sem atividade.</t>
        </is>
      </c>
      <c r="I17" s="4" t="n"/>
      <c r="J17" s="4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3" t="inlineStr">
        <is>
          <t>2026-03-22</t>
        </is>
      </c>
      <c r="B18" s="3" t="inlineStr">
        <is>
          <t>Dom</t>
        </is>
      </c>
      <c r="C18" s="3" t="inlineStr">
        <is>
          <t>-</t>
        </is>
      </c>
      <c r="D18" s="3" t="inlineStr">
        <is>
          <t>-</t>
        </is>
      </c>
      <c r="E18" s="3" t="n">
        <v>0</v>
      </c>
      <c r="F18" s="3" t="n">
        <v>0</v>
      </c>
      <c r="G18" s="3" t="inlineStr">
        <is>
          <t>Folga</t>
        </is>
      </c>
      <c r="H18" s="3" t="inlineStr">
        <is>
          <t>Sem atividade.</t>
        </is>
      </c>
      <c r="I18" s="4" t="n"/>
      <c r="J18" s="4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3" t="inlineStr">
        <is>
          <t>2026-03-23</t>
        </is>
      </c>
      <c r="B19" s="3" t="inlineStr">
        <is>
          <t>Seg</t>
        </is>
      </c>
      <c r="C19" s="3" t="inlineStr">
        <is>
          <t>18:30</t>
        </is>
      </c>
      <c r="D19" s="3" t="inlineStr">
        <is>
          <t>22:00</t>
        </is>
      </c>
      <c r="E19" s="3" t="n">
        <v>0.5</v>
      </c>
      <c r="F19" s="3" t="n">
        <v>3</v>
      </c>
      <c r="G19" s="3" t="inlineStr">
        <is>
          <t>Medio</t>
        </is>
      </c>
      <c r="H19" s="3" t="inlineStr">
        <is>
          <t>Ajustes finais de branding, revisoes de UI e estabilidade.</t>
        </is>
      </c>
      <c r="I19" s="4" t="n"/>
      <c r="J19" s="4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3" t="inlineStr">
        <is>
          <t>2026-03-24</t>
        </is>
      </c>
      <c r="B20" s="3" t="inlineStr">
        <is>
          <t>Ter</t>
        </is>
      </c>
      <c r="C20" s="6" t="n">
        <v>0.8541666666666666</v>
      </c>
      <c r="D20" s="3" t="inlineStr">
        <is>
          <t>00:30</t>
        </is>
      </c>
      <c r="E20" s="3" t="n">
        <v>1</v>
      </c>
      <c r="F20" s="3" t="n">
        <v>3</v>
      </c>
      <c r="G20" s="3" t="inlineStr">
        <is>
          <t>Medio</t>
        </is>
      </c>
      <c r="H20" s="3" t="inlineStr">
        <is>
          <t>Testes finais, refinamentos e fechamento do ciclo.</t>
        </is>
      </c>
      <c r="I20" s="4" t="n"/>
      <c r="J20" s="4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3">
      <c r="A21" s="3" t="inlineStr">
        <is>
          <t>2026-03-25</t>
        </is>
      </c>
      <c r="B21" s="3" t="inlineStr">
        <is>
          <t>Qua</t>
        </is>
      </c>
      <c r="C21" s="6" t="inlineStr">
        <is>
          <t>18:30</t>
        </is>
      </c>
      <c r="D21" s="3" t="inlineStr">
        <is>
          <t>22:00</t>
        </is>
      </c>
      <c r="E21" s="3" t="n">
        <v>0.5</v>
      </c>
      <c r="F21" s="3" t="n">
        <v>3</v>
      </c>
      <c r="G21" s="3" t="inlineStr">
        <is>
          <t>Medio</t>
        </is>
      </c>
      <c r="H21" s="3" t="inlineStr">
        <is>
          <t>Integracao web-mobile: leitura de estrutura, contrato de dados e definicao do plano tecnico.</t>
        </is>
      </c>
      <c r="I21" s="4" t="n"/>
      <c r="J21" s="4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3">
      <c r="A22" s="3" t="inlineStr">
        <is>
          <t>2026-03-26</t>
        </is>
      </c>
      <c r="B22" s="3" t="inlineStr">
        <is>
          <t>Qui</t>
        </is>
      </c>
      <c r="C22" s="6" t="inlineStr">
        <is>
          <t>19:00</t>
        </is>
      </c>
      <c r="D22" s="3" t="inlineStr">
        <is>
          <t>22:00</t>
        </is>
      </c>
      <c r="E22" s="3" t="n">
        <v>0.5</v>
      </c>
      <c r="F22" s="3" t="n">
        <v>2.5</v>
      </c>
      <c r="G22" s="3" t="inlineStr">
        <is>
          <t>Medio</t>
        </is>
      </c>
      <c r="H22" s="3" t="inlineStr">
        <is>
          <t>Ajustes de autenticacao, validacao de usuarios e correcoes de fluxo de login.</t>
        </is>
      </c>
      <c r="I22" s="4" t="n"/>
      <c r="J22" s="4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3">
      <c r="A23" s="3" t="inlineStr">
        <is>
          <t>2026-03-27</t>
        </is>
      </c>
      <c r="B23" s="3" t="inlineStr">
        <is>
          <t>Sex</t>
        </is>
      </c>
      <c r="C23" s="6" t="inlineStr">
        <is>
          <t>18:30</t>
        </is>
      </c>
      <c r="D23" s="3" t="inlineStr">
        <is>
          <t>22:00</t>
        </is>
      </c>
      <c r="E23" s="3" t="n">
        <v>0.5</v>
      </c>
      <c r="F23" s="3" t="n">
        <v>3</v>
      </c>
      <c r="G23" s="3" t="inlineStr">
        <is>
          <t>Medio</t>
        </is>
      </c>
      <c r="H23" s="3" t="inlineStr">
        <is>
          <t>Compatibilidade de schema mobile no backend e sincronizacao inicial com painel web.</t>
        </is>
      </c>
      <c r="I23" s="4" t="n"/>
      <c r="J23" s="4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3">
      <c r="A24" s="3" t="inlineStr">
        <is>
          <t>2026-03-28</t>
        </is>
      </c>
      <c r="B24" s="3" t="inlineStr">
        <is>
          <t>Sab</t>
        </is>
      </c>
      <c r="C24" s="6" t="inlineStr">
        <is>
          <t>17:00</t>
        </is>
      </c>
      <c r="D24" s="3" t="inlineStr">
        <is>
          <t>20:00</t>
        </is>
      </c>
      <c r="E24" s="3" t="n">
        <v>0.5</v>
      </c>
      <c r="F24" s="3" t="n">
        <v>2.5</v>
      </c>
      <c r="G24" s="3" t="inlineStr">
        <is>
          <t>Medio</t>
        </is>
      </c>
      <c r="H24" s="3" t="inlineStr">
        <is>
          <t>Correcao de CORS/ambiente local e ajustes de estabilidade entre web e API.</t>
        </is>
      </c>
      <c r="I24" s="4" t="n"/>
      <c r="J24" s="4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3">
      <c r="A25" s="3" t="inlineStr">
        <is>
          <t>2026-03-29</t>
        </is>
      </c>
      <c r="B25" s="3" t="inlineStr">
        <is>
          <t>Dom</t>
        </is>
      </c>
      <c r="C25" s="3" t="inlineStr">
        <is>
          <t>-</t>
        </is>
      </c>
      <c r="D25" s="3" t="inlineStr">
        <is>
          <t>-</t>
        </is>
      </c>
      <c r="E25" s="3" t="n">
        <v>0</v>
      </c>
      <c r="F25" s="3" t="n">
        <v>0</v>
      </c>
      <c r="G25" s="3" t="inlineStr">
        <is>
          <t>Folga</t>
        </is>
      </c>
      <c r="H25" s="3" t="inlineStr">
        <is>
          <t>Sem atividade.</t>
        </is>
      </c>
      <c r="I25" s="4" t="n"/>
      <c r="J25" s="4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3">
      <c r="A26" s="3" t="inlineStr">
        <is>
          <t>2026-03-30</t>
        </is>
      </c>
      <c r="B26" s="3" t="inlineStr">
        <is>
          <t>Seg</t>
        </is>
      </c>
      <c r="C26" s="6" t="inlineStr">
        <is>
          <t>18:30</t>
        </is>
      </c>
      <c r="D26" s="3" t="inlineStr">
        <is>
          <t>22:00</t>
        </is>
      </c>
      <c r="E26" s="3" t="n">
        <v>0.5</v>
      </c>
      <c r="F26" s="3" t="n">
        <v>3</v>
      </c>
      <c r="G26" s="3" t="inlineStr">
        <is>
          <t>Medio</t>
        </is>
      </c>
      <c r="H26" s="3" t="inlineStr">
        <is>
          <t>Diagnostico e correcao de falhas de fetch (UUID/CUID), testes de endpoints e validacao.</t>
        </is>
      </c>
      <c r="I26" s="4" t="n"/>
      <c r="J26" s="4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3">
      <c r="A27" s="3" t="inlineStr">
        <is>
          <t>2026-03-31</t>
        </is>
      </c>
      <c r="B27" s="3" t="inlineStr">
        <is>
          <t>Ter</t>
        </is>
      </c>
      <c r="C27" s="6" t="inlineStr">
        <is>
          <t>19:00</t>
        </is>
      </c>
      <c r="D27" s="3" t="inlineStr">
        <is>
          <t>22:30</t>
        </is>
      </c>
      <c r="E27" s="3" t="n">
        <v>0.5</v>
      </c>
      <c r="F27" s="3" t="n">
        <v>3</v>
      </c>
      <c r="G27" s="3" t="inlineStr">
        <is>
          <t>Medio</t>
        </is>
      </c>
      <c r="H27" s="3" t="inlineStr">
        <is>
          <t>Consolidacao da integracao, revisao de envs e alinhamento final para handoff do mobile.</t>
        </is>
      </c>
      <c r="I27" s="4" t="n"/>
      <c r="J27" s="4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3">
      <c r="A28" s="3" t="inlineStr">
        <is>
          <t>2026-04-01</t>
        </is>
      </c>
      <c r="B28" s="3" t="inlineStr">
        <is>
          <t>Qua</t>
        </is>
      </c>
      <c r="C28" s="6" t="inlineStr">
        <is>
          <t>18:30</t>
        </is>
      </c>
      <c r="D28" s="3" t="inlineStr">
        <is>
          <t>22:00</t>
        </is>
      </c>
      <c r="E28" s="3" t="n">
        <v>0.5</v>
      </c>
      <c r="F28" s="3" t="n">
        <v>3</v>
      </c>
      <c r="G28" s="3" t="inlineStr">
        <is>
          <t>Medio</t>
        </is>
      </c>
      <c r="H28" s="3" t="inlineStr">
        <is>
          <t>Leitura do repositorio mobile/web e mapeamento de lacunas de integracao.</t>
        </is>
      </c>
    </row>
    <row r="29" ht="15.75" customHeight="1" s="13">
      <c r="A29" s="3" t="inlineStr">
        <is>
          <t>2026-04-02</t>
        </is>
      </c>
      <c r="B29" s="3" t="inlineStr">
        <is>
          <t>Qui</t>
        </is>
      </c>
      <c r="C29" s="6" t="inlineStr">
        <is>
          <t>19:00</t>
        </is>
      </c>
      <c r="D29" s="3" t="inlineStr">
        <is>
          <t>22:30</t>
        </is>
      </c>
      <c r="E29" s="3" t="n">
        <v>0.5</v>
      </c>
      <c r="F29" s="3" t="n">
        <v>3</v>
      </c>
      <c r="G29" s="3" t="inlineStr">
        <is>
          <t>Medio</t>
        </is>
      </c>
      <c r="H29" s="3" t="inlineStr">
        <is>
          <t>Planejamento da branch sandbox e checklist tecnico da etapa 1.</t>
        </is>
      </c>
    </row>
    <row r="30" ht="15.75" customHeight="1" s="13">
      <c r="A30" s="3" t="inlineStr">
        <is>
          <t>2026-04-03</t>
        </is>
      </c>
      <c r="B30" s="3" t="inlineStr">
        <is>
          <t>Sex</t>
        </is>
      </c>
      <c r="C30" s="6" t="inlineStr">
        <is>
          <t>18:30</t>
        </is>
      </c>
      <c r="D30" s="3" t="inlineStr">
        <is>
          <t>22:00</t>
        </is>
      </c>
      <c r="E30" s="3" t="n">
        <v>0.5</v>
      </c>
      <c r="F30" s="3" t="n">
        <v>3</v>
      </c>
      <c r="G30" s="3" t="inlineStr">
        <is>
          <t>Medio</t>
        </is>
      </c>
      <c r="H30" s="3" t="inlineStr">
        <is>
          <t>Implementacao inicial do CMS no backend (temas, modulos, atividades e assets).</t>
        </is>
      </c>
    </row>
    <row r="31" ht="15.75" customHeight="1" s="13">
      <c r="A31" s="3" t="inlineStr">
        <is>
          <t>2026-04-04</t>
        </is>
      </c>
      <c r="B31" s="3" t="inlineStr">
        <is>
          <t>Sab</t>
        </is>
      </c>
      <c r="C31" s="6" t="inlineStr">
        <is>
          <t>17:30</t>
        </is>
      </c>
      <c r="D31" s="3" t="inlineStr">
        <is>
          <t>20:30</t>
        </is>
      </c>
      <c r="E31" s="3" t="n">
        <v>0.5</v>
      </c>
      <c r="F31" s="3" t="n">
        <v>2.5</v>
      </c>
      <c r="G31" s="3" t="inlineStr">
        <is>
          <t>Medio</t>
        </is>
      </c>
      <c r="H31" s="3" t="inlineStr">
        <is>
          <t>Criacao de rotas do painel e validacao de endpoints de conteudo.</t>
        </is>
      </c>
    </row>
    <row r="32" ht="15.75" customHeight="1" s="13">
      <c r="A32" s="3" t="inlineStr">
        <is>
          <t>2026-04-05</t>
        </is>
      </c>
      <c r="B32" s="3" t="inlineStr">
        <is>
          <t>Dom</t>
        </is>
      </c>
      <c r="C32" s="6" t="inlineStr">
        <is>
          <t>18:00</t>
        </is>
      </c>
      <c r="D32" s="3" t="inlineStr">
        <is>
          <t>21:00</t>
        </is>
      </c>
      <c r="E32" s="3" t="n">
        <v>0.5</v>
      </c>
      <c r="F32" s="3" t="n">
        <v>2.5</v>
      </c>
      <c r="G32" s="3" t="inlineStr">
        <is>
          <t>Medio</t>
        </is>
      </c>
      <c r="H32" s="3" t="inlineStr">
        <is>
          <t>Reestruturacao da tela Conteudo no web e validacao de build.</t>
        </is>
      </c>
    </row>
    <row r="33" ht="15.75" customHeight="1" s="13">
      <c r="A33" s="3" t="inlineStr">
        <is>
          <t>2026-04-06</t>
        </is>
      </c>
      <c r="B33" s="3" t="inlineStr">
        <is>
          <t>Seg</t>
        </is>
      </c>
      <c r="C33" s="6" t="inlineStr">
        <is>
          <t>19:00</t>
        </is>
      </c>
      <c r="D33" s="3" t="inlineStr">
        <is>
          <t>22:30</t>
        </is>
      </c>
      <c r="E33" s="3" t="n">
        <v>0.5</v>
      </c>
      <c r="F33" s="3" t="n">
        <v>3</v>
      </c>
      <c r="G33" s="3" t="inlineStr">
        <is>
          <t>Medio</t>
        </is>
      </c>
      <c r="H33" s="3" t="inlineStr">
        <is>
          <t>Analise da reuniao e consolidacao de requisitos de fluxo alfabetizador/alfabetizando.</t>
        </is>
      </c>
    </row>
    <row r="34" ht="15.75" customHeight="1" s="13">
      <c r="A34" s="3" t="inlineStr">
        <is>
          <t>2026-04-07</t>
        </is>
      </c>
      <c r="B34" s="3" t="inlineStr">
        <is>
          <t>Ter</t>
        </is>
      </c>
      <c r="C34" s="6" t="inlineStr">
        <is>
          <t>18:30</t>
        </is>
      </c>
      <c r="D34" s="3" t="inlineStr">
        <is>
          <t>22:00</t>
        </is>
      </c>
      <c r="E34" s="3" t="n">
        <v>0.5</v>
      </c>
      <c r="F34" s="3" t="n">
        <v>3</v>
      </c>
      <c r="G34" s="3" t="inlineStr">
        <is>
          <t>Medio</t>
        </is>
      </c>
      <c r="H34" s="3" t="inlineStr">
        <is>
          <t>Ajustes de integracao tutor-mobile (IDs, vinculos e sincronizacao).</t>
        </is>
      </c>
    </row>
    <row r="35" ht="15.75" customHeight="1" s="13">
      <c r="A35" s="3" t="inlineStr">
        <is>
          <t>2026-04-08</t>
        </is>
      </c>
      <c r="B35" s="3" t="inlineStr">
        <is>
          <t>Qua</t>
        </is>
      </c>
      <c r="C35" s="6" t="inlineStr">
        <is>
          <t>18:00</t>
        </is>
      </c>
      <c r="D35" s="3" t="inlineStr">
        <is>
          <t>22:30</t>
        </is>
      </c>
      <c r="E35" s="3" t="n">
        <v>0.5</v>
      </c>
      <c r="F35" s="3" t="n">
        <v>4</v>
      </c>
      <c r="G35" s="3" t="inlineStr">
        <is>
          <t>Alto</t>
        </is>
      </c>
      <c r="H35" s="3" t="inlineStr">
        <is>
          <t>Setup de ambientes, revisao de envs mobile, subida web/api/apps e validacoes.</t>
        </is>
      </c>
    </row>
    <row r="36" ht="15.75" customHeight="1" s="13">
      <c r="A36" s="3" t="inlineStr">
        <is>
          <t>Observacao</t>
        </is>
      </c>
      <c r="B36" s="3" t="inlineStr">
        <is>
          <t>Horarios do projeto alocados fora da faixa 13h-18h.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3">
      <c r="A37" s="3" t="n"/>
      <c r="B37" s="3" t="n"/>
      <c r="C37" s="6" t="n"/>
      <c r="D37" s="3" t="n"/>
      <c r="E37" s="7" t="inlineStr">
        <is>
          <t>Total de horas do projeto</t>
        </is>
      </c>
      <c r="F37" s="7">
        <f>SUM(F2:F35)</f>
        <v/>
      </c>
      <c r="G37" s="3" t="n"/>
      <c r="H37" s="3" t="n"/>
      <c r="I37" s="4" t="n"/>
      <c r="J37" s="4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3">
      <c r="A39" s="2" t="n"/>
      <c r="B39" s="2" t="n"/>
      <c r="C39" s="2" t="n"/>
      <c r="D39" s="2" t="n"/>
      <c r="E39" s="8" t="inlineStr">
        <is>
          <t>Valor hora</t>
        </is>
      </c>
      <c r="F39" s="9" t="n">
        <v>20</v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3">
      <c r="A41" s="2" t="n"/>
      <c r="B41" s="2" t="n"/>
      <c r="C41" s="2" t="n"/>
      <c r="D41" s="2" t="n"/>
      <c r="E41" s="10" t="inlineStr">
        <is>
          <t>TOTAL</t>
        </is>
      </c>
      <c r="F41" s="11">
        <f>F37*F39</f>
        <v/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3" min="1" max="1"/>
    <col width="24" customWidth="1" style="13" min="2" max="2"/>
    <col width="12" customWidth="1" style="13" min="3" max="4"/>
    <col width="14" customWidth="1" style="13" min="5" max="5"/>
    <col width="10" customWidth="1" style="13" min="6" max="6"/>
    <col width="15" customWidth="1" style="13" min="7" max="7"/>
  </cols>
  <sheetData>
    <row r="1">
      <c r="A1" s="1" t="inlineStr">
        <is>
          <t>Projeto</t>
        </is>
      </c>
      <c r="B1" s="1" t="inlineStr">
        <is>
          <t>Periodo</t>
        </is>
      </c>
      <c r="C1" s="1" t="inlineStr">
        <is>
          <t>Valor/hora</t>
        </is>
      </c>
      <c r="D1" s="1" t="inlineStr">
        <is>
          <t>Horas totais</t>
        </is>
      </c>
      <c r="E1" s="1" t="inlineStr">
        <is>
          <t>Total estimado</t>
        </is>
      </c>
      <c r="F1" s="1" t="inlineStr">
        <is>
          <t>Meta</t>
        </is>
      </c>
      <c r="G1" s="1" t="inlineStr">
        <is>
          <t>Status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Projeto Letras Web</t>
        </is>
      </c>
      <c r="B2" s="3" t="inlineStr">
        <is>
          <t>06/03/2026 a 08/04/2026</t>
        </is>
      </c>
      <c r="C2" s="4" t="n">
        <v>20</v>
      </c>
      <c r="D2" s="3">
        <f>SUM('Horas Marco 2026'!F2:F35)</f>
        <v/>
      </c>
      <c r="E2" s="4">
        <f>D2*C2</f>
        <v/>
      </c>
      <c r="F2" s="4" t="n">
        <v>1500</v>
      </c>
      <c r="G2" s="3">
        <f>IF(E2&gt;=F2,"Meta atingida","Abaixo da meta")</f>
        <v/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3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3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3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3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3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3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3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3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3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3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0" customWidth="1" style="13" min="1" max="1"/>
    <col width="30" customWidth="1" style="13" min="2" max="2"/>
    <col width="48" customWidth="1" style="13" min="3" max="3"/>
    <col width="28" customWidth="1" style="13" min="4" max="4"/>
    <col width="24" customWidth="1" style="13" min="5" max="5"/>
    <col width="10" customWidth="1" style="13" min="6" max="6"/>
    <col width="26" customWidth="1" style="13" min="7" max="7"/>
    <col width="14" customWidth="1" style="13" min="8" max="8"/>
  </cols>
  <sheetData>
    <row r="1">
      <c r="A1" s="12" t="n"/>
      <c r="B1" s="1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" t="inlineStr">
        <is>
          <t>Categoria</t>
        </is>
      </c>
      <c r="B5" s="1" t="inlineStr">
        <is>
          <t>Tecnologia/Ferramenta</t>
        </is>
      </c>
      <c r="C5" s="1" t="inlineStr">
        <is>
          <t>Uso no projeto</t>
        </is>
      </c>
      <c r="D5" s="1" t="inlineStr">
        <is>
          <t>Modelo de custo</t>
        </is>
      </c>
      <c r="E5" s="1" t="inlineStr">
        <is>
          <t>Valor base (moeda original)</t>
        </is>
      </c>
      <c r="F5" s="1" t="inlineStr">
        <is>
          <t>Moeda</t>
        </is>
      </c>
      <c r="G5" s="1" t="inlineStr">
        <is>
          <t>Custo mensal estimado (R$)</t>
        </is>
      </c>
      <c r="H5" s="1" t="inlineStr">
        <is>
          <t>Status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3" t="inlineStr">
        <is>
          <t>Backend/DB</t>
        </is>
      </c>
      <c r="B6" s="3" t="inlineStr">
        <is>
          <t>Supabase Pro</t>
        </is>
      </c>
      <c r="C6" s="3" t="inlineStr">
        <is>
          <t>Banco, Auth, API e Realtime para app mobile + web</t>
        </is>
      </c>
      <c r="D6" s="3" t="inlineStr">
        <is>
          <t>Assinatura mensal</t>
        </is>
      </c>
      <c r="E6" s="3" t="n">
        <v>25</v>
      </c>
      <c r="F6" s="3" t="inlineStr">
        <is>
          <t>USD</t>
        </is>
      </c>
      <c r="G6" s="4">
        <f>E6*$B$2</f>
        <v/>
      </c>
      <c r="H6" s="3" t="inlineStr">
        <is>
          <t>Planejado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" t="inlineStr">
        <is>
          <t>Hospedagem</t>
        </is>
      </c>
      <c r="B7" s="3" t="inlineStr">
        <is>
          <t>Hostinger VPS KVM 2</t>
        </is>
      </c>
      <c r="C7" s="3" t="inlineStr">
        <is>
          <t>Servidor do painel web e backend</t>
        </is>
      </c>
      <c r="D7" s="3" t="inlineStr">
        <is>
          <t>Assinatura mensal (promocional)</t>
        </is>
      </c>
      <c r="E7" s="3" t="n">
        <v>43.99</v>
      </c>
      <c r="F7" s="3" t="inlineStr">
        <is>
          <t>BRL</t>
        </is>
      </c>
      <c r="G7" s="4">
        <f>E7</f>
        <v/>
      </c>
      <c r="H7" s="3" t="inlineStr">
        <is>
          <t>Ativo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3" t="inlineStr">
        <is>
          <t>IA/Coding</t>
        </is>
      </c>
      <c r="B8" s="3" t="inlineStr">
        <is>
          <t>ChatGPT Plus (inclui Codex)</t>
        </is>
      </c>
      <c r="C8" s="3" t="inlineStr">
        <is>
          <t>Apoio de implementacao, revisao e produtividade</t>
        </is>
      </c>
      <c r="D8" s="3" t="inlineStr">
        <is>
          <t>Assinatura mensal</t>
        </is>
      </c>
      <c r="E8" s="3" t="n">
        <v>99.90000000000001</v>
      </c>
      <c r="F8" s="3" t="inlineStr">
        <is>
          <t>BRL</t>
        </is>
      </c>
      <c r="G8" s="4">
        <f>E8</f>
        <v/>
      </c>
      <c r="H8" s="3" t="inlineStr">
        <is>
          <t>Planejado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3" t="inlineStr">
        <is>
          <t>Design</t>
        </is>
      </c>
      <c r="B9" s="3" t="inlineStr">
        <is>
          <t>Figma Professional Full</t>
        </is>
      </c>
      <c r="C9" s="3" t="inlineStr">
        <is>
          <t>Figma Make, prototipos e handoff</t>
        </is>
      </c>
      <c r="D9" s="3" t="inlineStr">
        <is>
          <t>Assinatura mensal</t>
        </is>
      </c>
      <c r="E9" s="3" t="n">
        <v>20</v>
      </c>
      <c r="F9" s="3" t="inlineStr">
        <is>
          <t>USD</t>
        </is>
      </c>
      <c r="G9" s="4">
        <f>E9*$B$2</f>
        <v/>
      </c>
      <c r="H9" s="3" t="inlineStr">
        <is>
          <t>Planejado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3" t="inlineStr">
        <is>
          <t>Total mensal estimado (R$)</t>
        </is>
      </c>
      <c r="B11" s="2" t="n"/>
      <c r="C11" s="2" t="n"/>
      <c r="D11" s="2" t="n"/>
      <c r="E11" s="2" t="n"/>
      <c r="F11" s="2" t="n"/>
      <c r="G11" s="4">
        <f>SUM(G6:G9)</f>
        <v/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3" t="inlineStr">
        <is>
          <t>Notas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3" t="inlineStr">
        <is>
          <t>- Hostinger KVM2: valor promocional R$43,99/m; renovacao pode variar (ex.: R$77,99/m).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3" t="inlineStr">
        <is>
          <t>- Supabase e Figma estao em USD e convertem pelo cambio em B2.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3" t="inlineStr">
        <is>
          <t>Tecnologia</t>
        </is>
      </c>
      <c r="B17" s="3" t="inlineStr">
        <is>
          <t>Camada</t>
        </is>
      </c>
      <c r="C17" s="3" t="inlineStr">
        <is>
          <t>Uso principal</t>
        </is>
      </c>
      <c r="D17" s="3" t="inlineStr">
        <is>
          <t>Pago?</t>
        </is>
      </c>
      <c r="E17" s="3" t="inlineStr">
        <is>
          <t>Observacao</t>
        </is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" t="inlineStr">
        <is>
          <t>React + TypeScript</t>
        </is>
      </c>
      <c r="B18" s="1" t="inlineStr">
        <is>
          <t>Frontend</t>
        </is>
      </c>
      <c r="C18" s="1" t="inlineStr">
        <is>
          <t>Painel administrativo web</t>
        </is>
      </c>
      <c r="D18" s="1" t="inlineStr">
        <is>
          <t>Nao</t>
        </is>
      </c>
      <c r="E18" s="1" t="inlineStr">
        <is>
          <t>Base do frontend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3" t="inlineStr">
        <is>
          <t>Vite</t>
        </is>
      </c>
      <c r="B19" s="3" t="inlineStr">
        <is>
          <t>Build/Dev</t>
        </is>
      </c>
      <c r="C19" s="3" t="inlineStr">
        <is>
          <t>Build e servidor de desenvolvimento</t>
        </is>
      </c>
      <c r="D19" s="3" t="inlineStr">
        <is>
          <t>Nao</t>
        </is>
      </c>
      <c r="E19" s="3" t="inlineStr">
        <is>
          <t>Tooling principal</t>
        </is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3" t="inlineStr">
        <is>
          <t>WebSocket</t>
        </is>
      </c>
      <c r="B20" s="3" t="inlineStr">
        <is>
          <t>Realtime</t>
        </is>
      </c>
      <c r="C20" s="3" t="inlineStr">
        <is>
          <t>Eventos de presenca e atualizacoes</t>
        </is>
      </c>
      <c r="D20" s="3" t="inlineStr">
        <is>
          <t>Nao</t>
        </is>
      </c>
      <c r="E20" s="3" t="inlineStr">
        <is>
          <t>Comunicacao em tempo real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3">
      <c r="A21" s="3" t="inlineStr">
        <is>
          <t>Supabase</t>
        </is>
      </c>
      <c r="B21" s="3" t="inlineStr">
        <is>
          <t>Backend/DB</t>
        </is>
      </c>
      <c r="C21" s="3" t="inlineStr">
        <is>
          <t>Auth, banco e realtime</t>
        </is>
      </c>
      <c r="D21" s="3" t="inlineStr">
        <is>
          <t>Sim</t>
        </is>
      </c>
      <c r="E21" s="3" t="inlineStr">
        <is>
          <t>Plano Pro previsto</t>
        </is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3">
      <c r="A22" s="3" t="inlineStr">
        <is>
          <t>Nginx</t>
        </is>
      </c>
      <c r="B22" s="3" t="inlineStr">
        <is>
          <t>Infra</t>
        </is>
      </c>
      <c r="C22" s="3" t="inlineStr">
        <is>
          <t>Entrega da SPA e proxy</t>
        </is>
      </c>
      <c r="D22" s="3" t="inlineStr">
        <is>
          <t>Nao</t>
        </is>
      </c>
      <c r="E22" s="3" t="inlineStr">
        <is>
          <t>Rodando na VPS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3">
      <c r="A23" s="3" t="inlineStr">
        <is>
          <t>Hostinger VPS</t>
        </is>
      </c>
      <c r="B23" s="3" t="inlineStr">
        <is>
          <t>Infra</t>
        </is>
      </c>
      <c r="C23" s="3" t="inlineStr">
        <is>
          <t>Hospedagem da aplicacao</t>
        </is>
      </c>
      <c r="D23" s="3" t="inlineStr">
        <is>
          <t>Sim</t>
        </is>
      </c>
      <c r="E23" s="3" t="inlineStr">
        <is>
          <t>Plano KVM2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3">
      <c r="A24" s="3" t="inlineStr">
        <is>
          <t>ChatGPT Plus/Codex</t>
        </is>
      </c>
      <c r="B24" s="3" t="inlineStr">
        <is>
          <t>Produtividade</t>
        </is>
      </c>
      <c r="C24" s="3" t="inlineStr">
        <is>
          <t>Apoio tecnico de implementacao</t>
        </is>
      </c>
      <c r="D24" s="3" t="inlineStr">
        <is>
          <t>Sim</t>
        </is>
      </c>
      <c r="E24" s="3" t="inlineStr">
        <is>
          <t>Assinatura mensal</t>
        </is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3">
      <c r="A25" s="3" t="inlineStr">
        <is>
          <t>Figma</t>
        </is>
      </c>
      <c r="B25" s="3" t="inlineStr">
        <is>
          <t>Design</t>
        </is>
      </c>
      <c r="C25" s="3" t="inlineStr">
        <is>
          <t>Prototipacao e handoff</t>
        </is>
      </c>
      <c r="D25" s="3" t="inlineStr">
        <is>
          <t>Sim</t>
        </is>
      </c>
      <c r="E25" s="3" t="inlineStr">
        <is>
          <t>Plano Professional Full</t>
        </is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3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3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3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3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3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3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2026-03-18T22:52:43Z</dcterms:created>
  <dcterms:modified xmlns:dcterms="http://purl.org/dc/terms/" xmlns:xsi="http://www.w3.org/2001/XMLSchema-instance" xsi:type="dcterms:W3CDTF">2026-04-08T21:36:14Z</dcterms:modified>
</cp:coreProperties>
</file>